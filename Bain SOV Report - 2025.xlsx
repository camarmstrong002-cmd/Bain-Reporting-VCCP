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SJ" sheetId="1" r:id="rId4"/>
    <sheet state="visible" name="FT" sheetId="2" r:id="rId5"/>
    <sheet state="visible" name="Economist" sheetId="3" r:id="rId6"/>
    <sheet state="visible" name="Sheet1" sheetId="4" r:id="rId7"/>
    <sheet state="visible" name="Sheet2" sheetId="5" r:id="rId8"/>
    <sheet state="visible" name="Audience" sheetId="6" r:id="rId9"/>
  </sheets>
  <definedNames/>
  <calcPr/>
  <extLst>
    <ext uri="GoogleSheetsCustomDataVersion2">
      <go:sheetsCustomData xmlns:go="http://customooxmlschemas.google.com/" r:id="rId10" roundtripDataChecksum="5pP8nhXAt5sq2OW4dANGSRUOlt/VGn4gdbhulPyqwD4="/>
    </ext>
  </extLst>
</workbook>
</file>

<file path=xl/sharedStrings.xml><?xml version="1.0" encoding="utf-8"?>
<sst xmlns="http://schemas.openxmlformats.org/spreadsheetml/2006/main" count="946" uniqueCount="109">
  <si>
    <t>.</t>
  </si>
  <si>
    <t>BRAND</t>
  </si>
  <si>
    <t>Bain</t>
  </si>
  <si>
    <t>CAMPAIGN</t>
  </si>
  <si>
    <t>Brand</t>
  </si>
  <si>
    <t>PERIOD COVERED</t>
  </si>
  <si>
    <t>Mar 2025 - Jan 2026</t>
  </si>
  <si>
    <t>REPORT</t>
  </si>
  <si>
    <t xml:space="preserve">SOV </t>
  </si>
  <si>
    <t>CADENCE</t>
  </si>
  <si>
    <t>Monthly</t>
  </si>
  <si>
    <t>LAST UPDATED</t>
  </si>
  <si>
    <t>4.12.25</t>
  </si>
  <si>
    <t>Overall</t>
  </si>
  <si>
    <t>Publisher</t>
  </si>
  <si>
    <t>Audience</t>
  </si>
  <si>
    <t>Approx. Size - Feb 25</t>
  </si>
  <si>
    <t>Reach - Feb 25</t>
  </si>
  <si>
    <t>Impressions - Feb 25</t>
  </si>
  <si>
    <t>%Penetration</t>
  </si>
  <si>
    <t>Freq. - Feb 25</t>
  </si>
  <si>
    <t>Approx. Size - Mar 25</t>
  </si>
  <si>
    <t>Reach - Mar 25</t>
  </si>
  <si>
    <t>Impressions - Mar 25</t>
  </si>
  <si>
    <t>Freq. - March 25</t>
  </si>
  <si>
    <t>Approx. Size - Apr 25</t>
  </si>
  <si>
    <t>Impressions - Apr 25</t>
  </si>
  <si>
    <t>Reach - Apr 25</t>
  </si>
  <si>
    <t>Freq. - Apr 25</t>
  </si>
  <si>
    <t>Impressions - May 25</t>
  </si>
  <si>
    <t>Reach - May 25</t>
  </si>
  <si>
    <t>Freq. May 25</t>
  </si>
  <si>
    <t>Reach - June 25</t>
  </si>
  <si>
    <t>Freq. June 25</t>
  </si>
  <si>
    <t>Reach - July 25</t>
  </si>
  <si>
    <t>Freq. July 25</t>
  </si>
  <si>
    <t>Reach - Aug 25</t>
  </si>
  <si>
    <t>Freq. Aug 25</t>
  </si>
  <si>
    <t>Reach - Sep 25</t>
  </si>
  <si>
    <t>Freq. Sep 25</t>
  </si>
  <si>
    <t>Reach - Oct 25</t>
  </si>
  <si>
    <t>Freq. Oct 25</t>
  </si>
  <si>
    <t>Reach - Nov 25</t>
  </si>
  <si>
    <t>Freq. Nov 25</t>
  </si>
  <si>
    <t>Reach - Dec 25</t>
  </si>
  <si>
    <t>Freq. Dec 25</t>
  </si>
  <si>
    <t>Reach - Jan 26</t>
  </si>
  <si>
    <t>Freq. Jan 26</t>
  </si>
  <si>
    <t>WSJ</t>
  </si>
  <si>
    <t>Subscribers</t>
  </si>
  <si>
    <t>ABM/Custom</t>
  </si>
  <si>
    <t>Total</t>
  </si>
  <si>
    <t>NAM</t>
  </si>
  <si>
    <t>-</t>
  </si>
  <si>
    <t>-%</t>
  </si>
  <si>
    <t>Global</t>
  </si>
  <si>
    <t>Apr - Mar 25</t>
  </si>
  <si>
    <t>01.07.24</t>
  </si>
  <si>
    <t>%YoY</t>
  </si>
  <si>
    <t>Freq. April 25</t>
  </si>
  <si>
    <t>Approx. Size - Sep 25</t>
  </si>
  <si>
    <t>Approx. Size - Oct 25</t>
  </si>
  <si>
    <t>FT</t>
  </si>
  <si>
    <t>Contextual</t>
  </si>
  <si>
    <t>% Duplication</t>
  </si>
  <si>
    <t>EMEA</t>
  </si>
  <si>
    <t xml:space="preserve">NAM </t>
  </si>
  <si>
    <t>LATAM</t>
  </si>
  <si>
    <t>Audience + Contextual</t>
  </si>
  <si>
    <t>APAC</t>
  </si>
  <si>
    <t>7.11.25</t>
  </si>
  <si>
    <t>Freq. - May 25</t>
  </si>
  <si>
    <t>Freq. - June 25</t>
  </si>
  <si>
    <t>Approx. Size - Nov 25</t>
  </si>
  <si>
    <t>Approx. Size - Dec 25</t>
  </si>
  <si>
    <t>Freq.  Dec 25</t>
  </si>
  <si>
    <t>Freq.  Jan 26</t>
  </si>
  <si>
    <t>Economist</t>
  </si>
  <si>
    <t>EMEA Tier 1</t>
  </si>
  <si>
    <t>EMEA Tier 2</t>
  </si>
  <si>
    <t>NAM - USA</t>
  </si>
  <si>
    <t>NAM - CA</t>
  </si>
  <si>
    <t xml:space="preserve"> </t>
  </si>
  <si>
    <t>January</t>
  </si>
  <si>
    <t>February</t>
  </si>
  <si>
    <t>March</t>
  </si>
  <si>
    <t>April</t>
  </si>
  <si>
    <t>May</t>
  </si>
  <si>
    <t>June</t>
  </si>
  <si>
    <t>July</t>
  </si>
  <si>
    <t>August</t>
  </si>
  <si>
    <t>September</t>
  </si>
  <si>
    <t>October</t>
  </si>
  <si>
    <t>November</t>
  </si>
  <si>
    <t>December</t>
  </si>
  <si>
    <t xml:space="preserve">WSJ </t>
  </si>
  <si>
    <t>Priority</t>
  </si>
  <si>
    <t>Definition</t>
  </si>
  <si>
    <t>Sizings</t>
  </si>
  <si>
    <t xml:space="preserve">Anyone that subscribes to WSJ </t>
  </si>
  <si>
    <r>
      <rPr>
        <rFont val="Inter Tight"/>
        <color rgb="FF000000"/>
        <sz val="12.0"/>
      </rPr>
      <t xml:space="preserve">Fortune 500 companies OR CSuite senior decison makers (from </t>
    </r>
    <r>
      <rPr>
        <rFont val="Inter Tight"/>
        <color rgb="FF000000"/>
        <sz val="12.0"/>
      </rPr>
      <t>ABM</t>
    </r>
    <r>
      <rPr>
        <rFont val="Inter Tight"/>
        <color rgb="FF000000"/>
        <sz val="12.0"/>
      </rPr>
      <t>)</t>
    </r>
  </si>
  <si>
    <t>Audience / ABM</t>
  </si>
  <si>
    <t>ABM (Company size + Revenue OR CSuite) (Subscribers or Registered Readers)</t>
  </si>
  <si>
    <t>Just Contextual on topics (Prior agreed) - number of opportinities to show for subscribers and registered readers</t>
  </si>
  <si>
    <t>Paid subscriptions (no Registered readers - and also people who may not have declared job titles so would be missed in ABM)</t>
  </si>
  <si>
    <t xml:space="preserve">Economist </t>
  </si>
  <si>
    <t xml:space="preserve">1PD/3PD Business Decision Makers (Not necceasily al subscribers) </t>
  </si>
  <si>
    <t>ABM + contextual</t>
  </si>
  <si>
    <t xml:space="preserve">Can only be idenfied as subscribers when logged in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</si>
</sst>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809]#,##0.00"/>
    <numFmt numFmtId="165" formatCode="[$£-809]#,##0"/>
  </numFmts>
  <fonts count="32">
    <font>
      <sz val="10.0"/>
      <color rgb="FF000000"/>
      <name val="Arial"/>
      <scheme val="minor"/>
    </font>
    <font>
      <sz val="12.0"/>
      <color theme="1"/>
      <name val="Inter Tight"/>
    </font>
    <font>
      <color theme="1"/>
      <name val="Arial"/>
    </font>
    <font>
      <sz val="12.0"/>
      <color theme="1"/>
      <name val="Inter"/>
    </font>
    <font>
      <b/>
      <sz val="12.0"/>
      <color theme="1"/>
      <name val="Inter Tight"/>
    </font>
    <font>
      <color theme="1"/>
      <name val="Inter Tight"/>
    </font>
    <font>
      <sz val="11.0"/>
      <color theme="1"/>
      <name val="Inter Tight"/>
    </font>
    <font/>
    <font>
      <sz val="17.0"/>
      <color rgb="FFFF0000"/>
      <name val="Inter Tight"/>
    </font>
    <font>
      <i/>
      <sz val="12.0"/>
      <color theme="1"/>
      <name val="Inter Tight"/>
    </font>
    <font>
      <i/>
      <sz val="12.0"/>
      <color theme="1"/>
      <name val="Inter"/>
    </font>
    <font>
      <b/>
      <sz val="14.0"/>
      <color rgb="FFFFFFFF"/>
      <name val="Inter Tight"/>
    </font>
    <font>
      <b/>
      <sz val="14.0"/>
      <color theme="1"/>
      <name val="Inter Tight"/>
    </font>
    <font>
      <b/>
      <sz val="12.0"/>
      <color theme="1"/>
      <name val="Inter"/>
    </font>
    <font>
      <sz val="5.0"/>
      <color theme="1"/>
      <name val="Inter Tight"/>
    </font>
    <font>
      <sz val="5.0"/>
      <color theme="1"/>
      <name val="Inter"/>
    </font>
    <font>
      <b/>
      <sz val="17.0"/>
      <color theme="1"/>
      <name val="Inter"/>
    </font>
    <font>
      <b/>
      <sz val="14.0"/>
      <color rgb="FF000000"/>
      <name val="Inter Tight"/>
    </font>
    <font>
      <sz val="12.0"/>
      <color rgb="FF000000"/>
      <name val="Inter Tight"/>
    </font>
    <font>
      <sz val="12.0"/>
      <color rgb="FF000000"/>
      <name val="Inter"/>
    </font>
    <font>
      <sz val="14.0"/>
      <color theme="1"/>
      <name val="Inter Tight"/>
    </font>
    <font>
      <b/>
      <sz val="14.0"/>
      <color theme="0"/>
      <name val="Inter Tight"/>
    </font>
    <font>
      <sz val="14.0"/>
      <color theme="0"/>
      <name val="Inter Tight"/>
    </font>
    <font>
      <sz val="14.0"/>
      <color theme="1"/>
      <name val="Inter"/>
    </font>
    <font>
      <sz val="12.0"/>
      <color rgb="FFFFFFFF"/>
      <name val="Inter Tight"/>
    </font>
    <font>
      <sz val="13.0"/>
      <color rgb="FF000000"/>
      <name val="Inter Tight"/>
    </font>
    <font>
      <color rgb="FF000000"/>
      <name val="Inter Tight"/>
    </font>
    <font>
      <sz val="12.0"/>
      <color rgb="FFFFFFFF"/>
      <name val="Inter"/>
    </font>
    <font>
      <sz val="14.0"/>
      <color rgb="FFFFFFFF"/>
      <name val="Inter Tight"/>
    </font>
    <font>
      <sz val="14.0"/>
      <color rgb="FF000000"/>
      <name val="Inter Tight"/>
    </font>
    <font>
      <color theme="1"/>
      <name val="Arial"/>
      <scheme val="minor"/>
    </font>
    <font>
      <b/>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theme="4"/>
        <bgColor theme="4"/>
      </patternFill>
    </fill>
    <fill>
      <patternFill patternType="solid">
        <fgColor rgb="FFFFD609"/>
        <bgColor rgb="FFFFD609"/>
      </patternFill>
    </fill>
    <fill>
      <patternFill patternType="solid">
        <fgColor rgb="FFC9DAF8"/>
        <bgColor rgb="FFC9DAF8"/>
      </patternFill>
    </fill>
    <fill>
      <patternFill patternType="solid">
        <fgColor theme="0"/>
        <bgColor theme="0"/>
      </patternFill>
    </fill>
    <fill>
      <patternFill patternType="solid">
        <fgColor theme="8"/>
        <bgColor theme="8"/>
      </patternFill>
    </fill>
    <fill>
      <patternFill patternType="solid">
        <fgColor rgb="FFD9D9D9"/>
        <bgColor rgb="FFD9D9D9"/>
      </patternFill>
    </fill>
  </fills>
  <borders count="29">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rder>
    <border>
      <top style="medium">
        <color rgb="FF000000"/>
      </top>
    </border>
    <border>
      <left style="thin">
        <color rgb="FF000000"/>
      </left>
      <right style="thin">
        <color rgb="FF000000"/>
      </right>
      <top style="thin">
        <color rgb="FF000000"/>
      </top>
      <bottom style="thin">
        <color rgb="FF000000"/>
      </bottom>
    </border>
    <border>
      <top style="medium">
        <color rgb="FFFFFFFF"/>
      </top>
    </border>
    <border>
      <left style="thin">
        <color rgb="FF000000"/>
      </left>
      <right style="thin">
        <color rgb="FF000000"/>
      </right>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medium">
        <color rgb="FFFFFFFF"/>
      </top>
    </border>
    <border>
      <left style="medium">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FFFFFF"/>
      </right>
      <top style="thin">
        <color rgb="FF000000"/>
      </top>
      <bottom style="thin">
        <color rgb="FF000000"/>
      </bottom>
    </border>
    <border>
      <left style="medium">
        <color rgb="FF000000"/>
      </left>
      <right style="thin">
        <color rgb="FF000000"/>
      </right>
    </border>
    <border>
      <left/>
      <right/>
      <top/>
      <bottom/>
    </border>
    <border>
      <left/>
      <right/>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top/>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10" xfId="0" applyAlignment="1" applyFont="1" applyNumberFormat="1">
      <alignment shrinkToFit="0" wrapText="1"/>
    </xf>
    <xf borderId="0" fillId="0" fontId="1" numFmtId="0" xfId="0" applyAlignment="1" applyFont="1">
      <alignment shrinkToFit="0" wrapText="1"/>
    </xf>
    <xf borderId="0" fillId="0" fontId="1" numFmtId="164" xfId="0" applyAlignment="1" applyFont="1" applyNumberFormat="1">
      <alignment shrinkToFit="0" wrapText="1"/>
    </xf>
    <xf borderId="0" fillId="0" fontId="2" numFmtId="0" xfId="0" applyAlignment="1" applyFont="1">
      <alignment vertical="center"/>
    </xf>
    <xf borderId="0" fillId="2" fontId="1" numFmtId="0" xfId="0" applyAlignment="1" applyFill="1" applyFont="1">
      <alignment shrinkToFit="0" wrapText="1"/>
    </xf>
    <xf borderId="0" fillId="0" fontId="3" numFmtId="0" xfId="0" applyAlignment="1" applyFont="1">
      <alignment shrinkToFit="0" wrapText="1"/>
    </xf>
    <xf borderId="0" fillId="2" fontId="3" numFmtId="0" xfId="0" applyAlignment="1" applyFont="1">
      <alignment shrinkToFit="0" wrapText="1"/>
    </xf>
    <xf borderId="0" fillId="2"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5" numFmtId="0" xfId="0" applyFont="1"/>
    <xf borderId="0" fillId="0" fontId="6" numFmtId="0" xfId="0" applyAlignment="1" applyFont="1">
      <alignment vertical="center"/>
    </xf>
    <xf borderId="0" fillId="0" fontId="5" numFmtId="0" xfId="0" applyAlignment="1" applyFont="1">
      <alignment vertical="center"/>
    </xf>
    <xf borderId="0" fillId="0" fontId="4" numFmtId="164" xfId="0" applyAlignment="1" applyFont="1" applyNumberFormat="1">
      <alignment horizontal="center" shrinkToFit="0" vertical="center" wrapText="1"/>
    </xf>
    <xf borderId="0" fillId="0" fontId="1" numFmtId="164" xfId="0" applyAlignment="1" applyFont="1" applyNumberFormat="1">
      <alignment horizontal="center" shrinkToFit="0" vertical="center" wrapText="1"/>
    </xf>
    <xf borderId="0" fillId="0" fontId="1" numFmtId="0" xfId="0" applyAlignment="1" applyFont="1">
      <alignment horizontal="center" shrinkToFit="0" vertical="center" wrapText="1"/>
    </xf>
    <xf borderId="1" fillId="2" fontId="4"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0" fontId="7" numFmtId="0" xfId="0" applyBorder="1" applyFont="1"/>
    <xf borderId="3" fillId="0" fontId="7" numFmtId="0" xfId="0" applyBorder="1" applyFont="1"/>
    <xf borderId="0" fillId="0" fontId="8" numFmtId="0" xfId="0" applyFont="1"/>
    <xf borderId="4" fillId="0" fontId="7" numFmtId="0" xfId="0" applyBorder="1" applyFont="1"/>
    <xf borderId="5" fillId="0" fontId="7" numFmtId="0" xfId="0" applyBorder="1" applyFont="1"/>
    <xf borderId="0" fillId="0" fontId="1" numFmtId="10" xfId="0" applyAlignment="1" applyFont="1" applyNumberFormat="1">
      <alignment horizontal="center" shrinkToFit="0" vertical="center" wrapText="1"/>
    </xf>
    <xf borderId="0" fillId="0" fontId="1" numFmtId="0" xfId="0" applyFont="1"/>
    <xf borderId="6" fillId="0" fontId="7" numFmtId="0" xfId="0" applyBorder="1" applyFont="1"/>
    <xf borderId="7" fillId="0" fontId="7" numFmtId="0" xfId="0" applyBorder="1" applyFont="1"/>
    <xf borderId="8" fillId="0" fontId="7" numFmtId="0" xfId="0" applyBorder="1" applyFont="1"/>
    <xf borderId="0" fillId="0" fontId="1" numFmtId="164" xfId="0" applyAlignment="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9" fillId="3" fontId="11" numFmtId="0" xfId="0" applyAlignment="1" applyBorder="1" applyFill="1" applyFont="1">
      <alignment horizontal="center" shrinkToFit="0" vertical="center" wrapText="1"/>
    </xf>
    <xf borderId="10" fillId="0" fontId="7" numFmtId="0" xfId="0" applyBorder="1" applyFont="1"/>
    <xf borderId="11" fillId="3" fontId="1" numFmtId="0" xfId="0" applyAlignment="1" applyBorder="1" applyFont="1">
      <alignment horizontal="center" shrinkToFit="0" vertical="center" wrapText="1"/>
    </xf>
    <xf borderId="0" fillId="3" fontId="1" numFmtId="0" xfId="0" applyAlignment="1" applyFont="1">
      <alignment horizontal="center" shrinkToFit="0" vertical="center" wrapText="1"/>
    </xf>
    <xf borderId="0" fillId="3" fontId="2" numFmtId="0" xfId="0" applyAlignment="1" applyFont="1">
      <alignment vertical="center"/>
    </xf>
    <xf borderId="12" fillId="3" fontId="11" numFmtId="0" xfId="0" applyAlignment="1" applyBorder="1" applyFont="1">
      <alignment horizontal="center" shrinkToFit="0" vertical="center" wrapText="1"/>
    </xf>
    <xf borderId="5" fillId="4" fontId="12" numFmtId="0" xfId="0" applyAlignment="1" applyBorder="1" applyFill="1" applyFont="1">
      <alignment horizontal="center" shrinkToFit="0" vertical="center" wrapText="1"/>
    </xf>
    <xf borderId="13" fillId="4" fontId="12" numFmtId="0" xfId="0" applyAlignment="1" applyBorder="1" applyFont="1">
      <alignment horizontal="center" shrinkToFit="0" vertical="center" wrapText="1"/>
    </xf>
    <xf borderId="13" fillId="4" fontId="12" numFmtId="0" xfId="0" applyAlignment="1" applyBorder="1" applyFont="1">
      <alignment horizontal="center" readingOrder="0" shrinkToFit="0" vertical="center" wrapText="1"/>
    </xf>
    <xf borderId="14" fillId="4" fontId="12" numFmtId="0" xfId="0" applyAlignment="1" applyBorder="1" applyFont="1">
      <alignment horizontal="center" readingOrder="0" shrinkToFit="0" vertical="center" wrapText="1"/>
    </xf>
    <xf borderId="14" fillId="4" fontId="12" numFmtId="0" xfId="0" applyAlignment="1" applyBorder="1" applyFont="1">
      <alignment horizontal="center" shrinkToFit="0" vertical="center" wrapText="1"/>
    </xf>
    <xf borderId="14" fillId="5" fontId="12" numFmtId="0" xfId="0" applyAlignment="1" applyBorder="1" applyFill="1" applyFont="1">
      <alignment horizontal="center" readingOrder="0" shrinkToFit="0" vertical="center" wrapText="1"/>
    </xf>
    <xf borderId="14" fillId="5" fontId="12" numFmtId="0" xfId="0" applyAlignment="1" applyBorder="1" applyFont="1">
      <alignment horizontal="center" shrinkToFit="0" vertical="center" wrapText="1"/>
    </xf>
    <xf borderId="0" fillId="0" fontId="13" numFmtId="0" xfId="0" applyAlignment="1" applyFont="1">
      <alignment horizontal="center" shrinkToFit="0" vertical="center" wrapText="1"/>
    </xf>
    <xf borderId="15" fillId="6" fontId="13"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0" fillId="0" fontId="14" numFmtId="0" xfId="0" applyAlignment="1" applyFont="1">
      <alignment horizontal="center" shrinkToFit="0" vertical="center" wrapText="1"/>
    </xf>
    <xf borderId="0" fillId="0" fontId="15" numFmtId="0" xfId="0" applyAlignment="1" applyFont="1">
      <alignment horizontal="center" shrinkToFit="0" vertical="center" wrapText="1"/>
    </xf>
    <xf borderId="8" fillId="6" fontId="16" numFmtId="0" xfId="0" applyAlignment="1" applyBorder="1" applyFont="1">
      <alignment horizontal="center" shrinkToFit="0" wrapText="1"/>
    </xf>
    <xf borderId="17" fillId="3" fontId="11" numFmtId="0" xfId="0" applyAlignment="1" applyBorder="1" applyFont="1">
      <alignment horizontal="center" shrinkToFit="0" vertical="center" wrapText="1"/>
    </xf>
    <xf borderId="11" fillId="7" fontId="17" numFmtId="0" xfId="0" applyAlignment="1" applyBorder="1" applyFill="1" applyFont="1">
      <alignment horizontal="center" shrinkToFit="0" vertical="center" wrapText="1"/>
    </xf>
    <xf borderId="11" fillId="0" fontId="18" numFmtId="3" xfId="0" applyAlignment="1" applyBorder="1" applyFont="1" applyNumberFormat="1">
      <alignment horizontal="center" shrinkToFit="0" vertical="center" wrapText="1"/>
    </xf>
    <xf borderId="11" fillId="0" fontId="18" numFmtId="10" xfId="0" applyAlignment="1" applyBorder="1" applyFont="1" applyNumberFormat="1">
      <alignment horizontal="center" shrinkToFit="0" vertical="center" wrapText="1"/>
    </xf>
    <xf borderId="11" fillId="0" fontId="18" numFmtId="4" xfId="0" applyAlignment="1" applyBorder="1" applyFont="1" applyNumberFormat="1">
      <alignment horizontal="center" shrinkToFit="0" vertical="center" wrapText="1"/>
    </xf>
    <xf borderId="11" fillId="0" fontId="18" numFmtId="4" xfId="0" applyAlignment="1" applyBorder="1" applyFont="1" applyNumberFormat="1">
      <alignment horizontal="center" readingOrder="0" shrinkToFit="0" vertical="center" wrapText="1"/>
    </xf>
    <xf borderId="11" fillId="0" fontId="1" numFmtId="4" xfId="0" applyAlignment="1" applyBorder="1" applyFont="1" applyNumberFormat="1">
      <alignment horizontal="center" readingOrder="0" shrinkToFit="0" vertical="center" wrapText="1"/>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0" fillId="2" fontId="3" numFmtId="4" xfId="0" applyAlignment="1" applyFont="1" applyNumberFormat="1">
      <alignment shrinkToFit="0" wrapText="1"/>
    </xf>
    <xf borderId="18" fillId="0" fontId="7" numFmtId="0" xfId="0" applyBorder="1" applyFont="1"/>
    <xf borderId="11" fillId="0" fontId="18" numFmtId="3" xfId="0" applyAlignment="1" applyBorder="1" applyFont="1" applyNumberFormat="1">
      <alignment horizontal="center" readingOrder="0" shrinkToFit="0" vertical="center" wrapText="1"/>
    </xf>
    <xf borderId="19" fillId="8" fontId="1" numFmtId="3" xfId="0" applyAlignment="1" applyBorder="1" applyFill="1" applyFont="1" applyNumberFormat="1">
      <alignment horizontal="center" shrinkToFit="0" vertical="center" wrapText="1"/>
    </xf>
    <xf borderId="20" fillId="0" fontId="7" numFmtId="0" xfId="0" applyBorder="1" applyFont="1"/>
    <xf borderId="11" fillId="8" fontId="1" numFmtId="10" xfId="0" applyAlignment="1" applyBorder="1" applyFont="1" applyNumberFormat="1">
      <alignment horizontal="center" shrinkToFit="0" vertical="center" wrapText="1"/>
    </xf>
    <xf borderId="15" fillId="8" fontId="1" numFmtId="3" xfId="0" applyAlignment="1" applyBorder="1" applyFont="1" applyNumberFormat="1">
      <alignment horizontal="center" shrinkToFit="0" vertical="center" wrapText="1"/>
    </xf>
    <xf borderId="11" fillId="8" fontId="1" numFmtId="3" xfId="0" applyAlignment="1" applyBorder="1" applyFont="1" applyNumberFormat="1">
      <alignment horizontal="center" shrinkToFit="0" vertical="center" wrapText="1"/>
    </xf>
    <xf borderId="0" fillId="8" fontId="1" numFmtId="3" xfId="0" applyAlignment="1" applyFont="1" applyNumberFormat="1">
      <alignment horizontal="center" shrinkToFit="0" vertical="center" wrapText="1"/>
    </xf>
    <xf borderId="0" fillId="9" fontId="2" numFmtId="3" xfId="0" applyAlignment="1" applyFill="1" applyFont="1" applyNumberFormat="1">
      <alignment vertical="center"/>
    </xf>
    <xf borderId="0" fillId="0" fontId="20" numFmtId="0" xfId="0" applyAlignment="1" applyFont="1">
      <alignment shrinkToFit="0" wrapText="1"/>
    </xf>
    <xf borderId="21" fillId="3" fontId="21" numFmtId="0" xfId="0" applyAlignment="1" applyBorder="1" applyFont="1">
      <alignment horizontal="center" shrinkToFit="0" vertical="center" wrapText="1"/>
    </xf>
    <xf borderId="20" fillId="3" fontId="22" numFmtId="0" xfId="0" applyAlignment="1" applyBorder="1" applyFont="1">
      <alignment horizontal="center" shrinkToFit="0" vertical="center" wrapText="1"/>
    </xf>
    <xf borderId="11" fillId="3" fontId="22" numFmtId="0" xfId="0" applyAlignment="1" applyBorder="1" applyFont="1">
      <alignment horizontal="center" shrinkToFit="0" vertical="center" wrapText="1"/>
    </xf>
    <xf borderId="11" fillId="3" fontId="11" numFmtId="3" xfId="0" applyAlignment="1" applyBorder="1" applyFont="1" applyNumberFormat="1">
      <alignment horizontal="center" shrinkToFit="0" vertical="center" wrapText="1"/>
    </xf>
    <xf borderId="11" fillId="3" fontId="11" numFmtId="0" xfId="0" applyAlignment="1" applyBorder="1" applyFont="1">
      <alignment horizontal="center" shrinkToFit="0" vertical="center" wrapText="1"/>
    </xf>
    <xf borderId="11" fillId="3" fontId="21" numFmtId="3" xfId="0" applyAlignment="1" applyBorder="1" applyFont="1" applyNumberFormat="1">
      <alignment horizontal="center" shrinkToFit="0" vertical="center" wrapText="1"/>
    </xf>
    <xf borderId="11" fillId="3" fontId="21" numFmtId="0" xfId="0" applyAlignment="1" applyBorder="1" applyFont="1">
      <alignment horizontal="center" shrinkToFit="0" vertical="center" wrapText="1"/>
    </xf>
    <xf borderId="19" fillId="3" fontId="11" numFmtId="2" xfId="0" applyAlignment="1" applyBorder="1" applyFont="1" applyNumberFormat="1">
      <alignment horizontal="center" readingOrder="0" shrinkToFit="0" vertical="center" wrapText="1"/>
    </xf>
    <xf borderId="19" fillId="3" fontId="22" numFmtId="0" xfId="0" applyAlignment="1" applyBorder="1" applyFont="1">
      <alignment horizontal="center" shrinkToFit="0" vertical="center" wrapText="1"/>
    </xf>
    <xf borderId="0" fillId="3" fontId="22" numFmtId="0" xfId="0" applyAlignment="1" applyFont="1">
      <alignment horizontal="center" shrinkToFit="0" vertical="center" wrapText="1"/>
    </xf>
    <xf borderId="0" fillId="0" fontId="23" numFmtId="0" xfId="0" applyAlignment="1" applyFont="1">
      <alignment shrinkToFit="0" wrapText="1"/>
    </xf>
    <xf borderId="0" fillId="2" fontId="23" numFmtId="0" xfId="0" applyAlignment="1" applyFont="1">
      <alignment shrinkToFit="0" wrapText="1"/>
    </xf>
    <xf borderId="0" fillId="0" fontId="24" numFmtId="0" xfId="0" applyAlignment="1" applyFont="1">
      <alignment shrinkToFit="0" wrapText="1"/>
    </xf>
    <xf borderId="0" fillId="0" fontId="25" numFmtId="0" xfId="0" applyAlignment="1" applyFont="1">
      <alignment shrinkToFit="0" wrapText="0"/>
    </xf>
    <xf borderId="0" fillId="0" fontId="26" numFmtId="0" xfId="0" applyFont="1"/>
    <xf borderId="0" fillId="0" fontId="25" numFmtId="0" xfId="0" applyFont="1"/>
    <xf borderId="0" fillId="0" fontId="25" numFmtId="3" xfId="0" applyFont="1" applyNumberFormat="1"/>
    <xf borderId="0" fillId="0" fontId="1" numFmtId="3" xfId="0" applyAlignment="1" applyFont="1" applyNumberFormat="1">
      <alignment horizontal="center" shrinkToFit="0" vertical="center" wrapText="1"/>
    </xf>
    <xf borderId="0" fillId="0" fontId="1" numFmtId="2" xfId="0" applyAlignment="1" applyFont="1" applyNumberFormat="1">
      <alignment horizontal="center" shrinkToFit="0" vertical="center" wrapText="1"/>
    </xf>
    <xf borderId="0" fillId="0" fontId="18" numFmtId="0" xfId="0" applyAlignment="1" applyFont="1">
      <alignment shrinkToFit="0" wrapText="1"/>
    </xf>
    <xf borderId="0" fillId="0" fontId="19" numFmtId="0" xfId="0" applyAlignment="1" applyFont="1">
      <alignment shrinkToFit="0" wrapText="1"/>
    </xf>
    <xf borderId="0" fillId="2" fontId="27" numFmtId="0" xfId="0" applyAlignment="1" applyFont="1">
      <alignment shrinkToFit="0" wrapText="1"/>
    </xf>
    <xf borderId="11" fillId="0" fontId="18" numFmtId="0" xfId="0" applyAlignment="1" applyBorder="1" applyFont="1">
      <alignment horizontal="center" shrinkToFit="0" vertical="center" wrapText="1"/>
    </xf>
    <xf borderId="11" fillId="0" fontId="1" numFmtId="3" xfId="0" applyAlignment="1" applyBorder="1" applyFont="1" applyNumberFormat="1">
      <alignment horizontal="center" readingOrder="0" shrinkToFit="0" vertical="center" wrapText="1"/>
    </xf>
    <xf borderId="11" fillId="0" fontId="2" numFmtId="10" xfId="0" applyAlignment="1" applyBorder="1" applyFont="1" applyNumberFormat="1">
      <alignment vertical="center"/>
    </xf>
    <xf borderId="0" fillId="0" fontId="3" numFmtId="0" xfId="0" applyFont="1"/>
    <xf borderId="0" fillId="0" fontId="3" numFmtId="164" xfId="0" applyFont="1" applyNumberFormat="1"/>
    <xf borderId="11" fillId="0" fontId="18" numFmtId="165" xfId="0" applyAlignment="1" applyBorder="1" applyFont="1" applyNumberFormat="1">
      <alignment horizontal="center" shrinkToFit="0" vertical="center" wrapText="1"/>
    </xf>
    <xf borderId="11" fillId="0" fontId="2" numFmtId="3" xfId="0" applyAlignment="1" applyBorder="1" applyFont="1" applyNumberFormat="1">
      <alignment vertical="center"/>
    </xf>
    <xf borderId="11" fillId="0" fontId="2" numFmtId="4" xfId="0" applyAlignment="1" applyBorder="1" applyFont="1" applyNumberFormat="1">
      <alignment vertical="center"/>
    </xf>
    <xf borderId="0" fillId="0" fontId="2" numFmtId="0" xfId="0" applyAlignment="1" applyFont="1">
      <alignment vertical="center"/>
    </xf>
    <xf borderId="0" fillId="0" fontId="6" numFmtId="0" xfId="0" applyFont="1"/>
    <xf borderId="11" fillId="0" fontId="18" numFmtId="9" xfId="0" applyAlignment="1" applyBorder="1" applyFont="1" applyNumberFormat="1">
      <alignment horizontal="center" shrinkToFit="0" vertical="center" wrapText="1"/>
    </xf>
    <xf borderId="11" fillId="2" fontId="18" numFmtId="3" xfId="0" applyAlignment="1" applyBorder="1" applyFont="1" applyNumberFormat="1">
      <alignment horizontal="center" shrinkToFit="0" vertical="center" wrapText="1"/>
    </xf>
    <xf borderId="11" fillId="0" fontId="18" numFmtId="10" xfId="0" applyAlignment="1" applyBorder="1" applyFont="1" applyNumberFormat="1">
      <alignment horizontal="center" readingOrder="0" shrinkToFit="0" vertical="center" wrapText="1"/>
    </xf>
    <xf borderId="22" fillId="0" fontId="7" numFmtId="0" xfId="0" applyBorder="1" applyFont="1"/>
    <xf borderId="19" fillId="9" fontId="18" numFmtId="3" xfId="0" applyAlignment="1" applyBorder="1" applyFont="1" applyNumberFormat="1">
      <alignment horizontal="center" readingOrder="0" shrinkToFit="0" vertical="center" wrapText="1"/>
    </xf>
    <xf borderId="0" fillId="9" fontId="18" numFmtId="3" xfId="0" applyAlignment="1" applyFont="1" applyNumberFormat="1">
      <alignment horizontal="center" readingOrder="0" shrinkToFit="0" vertical="center" wrapText="1"/>
    </xf>
    <xf borderId="11" fillId="2" fontId="18" numFmtId="9" xfId="0" applyAlignment="1" applyBorder="1" applyFont="1" applyNumberFormat="1">
      <alignment horizontal="center" shrinkToFit="0" vertical="center" wrapText="1"/>
    </xf>
    <xf borderId="19" fillId="3" fontId="11" numFmtId="0" xfId="0" applyAlignment="1" applyBorder="1" applyFont="1">
      <alignment horizontal="center" shrinkToFit="0" vertical="center" wrapText="1"/>
    </xf>
    <xf borderId="15" fillId="3" fontId="28" numFmtId="10" xfId="0" applyAlignment="1" applyBorder="1" applyFont="1" applyNumberFormat="1">
      <alignment horizontal="center" shrinkToFit="0" vertical="center" wrapText="1"/>
    </xf>
    <xf borderId="15" fillId="3" fontId="22" numFmtId="0" xfId="0" applyAlignment="1" applyBorder="1" applyFont="1">
      <alignment horizontal="center" shrinkToFit="0" vertical="center" wrapText="1"/>
    </xf>
    <xf borderId="19" fillId="3" fontId="21" numFmtId="0" xfId="0" applyAlignment="1" applyBorder="1" applyFont="1">
      <alignment horizontal="center" shrinkToFit="0" vertical="center" wrapText="1"/>
    </xf>
    <xf borderId="19" fillId="3" fontId="21" numFmtId="3" xfId="0" applyAlignment="1" applyBorder="1" applyFont="1" applyNumberFormat="1">
      <alignment horizontal="center" shrinkToFit="0" vertical="center" wrapText="1"/>
    </xf>
    <xf borderId="0" fillId="0" fontId="29" numFmtId="0" xfId="0" applyFont="1"/>
    <xf borderId="19" fillId="3" fontId="11" numFmtId="3" xfId="0" applyAlignment="1" applyBorder="1" applyFont="1" applyNumberFormat="1">
      <alignment horizontal="center" shrinkToFit="0" vertical="center" wrapText="1"/>
    </xf>
    <xf borderId="0" fillId="0" fontId="1" numFmtId="4" xfId="0" applyAlignment="1" applyFont="1" applyNumberFormat="1">
      <alignment shrinkToFit="0" wrapText="1"/>
    </xf>
    <xf borderId="0" fillId="0" fontId="1" numFmtId="164" xfId="0" applyAlignment="1" applyFont="1" applyNumberFormat="1">
      <alignment shrinkToFit="0" vertical="center" wrapText="1"/>
    </xf>
    <xf borderId="0" fillId="0" fontId="1" numFmtId="0" xfId="0" applyAlignment="1" applyFont="1">
      <alignment shrinkToFit="0" vertical="center" wrapText="1"/>
    </xf>
    <xf borderId="23" fillId="2" fontId="1" numFmtId="0" xfId="0" applyAlignment="1" applyBorder="1" applyFont="1">
      <alignment shrinkToFit="0" wrapText="1"/>
    </xf>
    <xf borderId="0" fillId="0" fontId="1" numFmtId="4" xfId="0" applyAlignment="1" applyFont="1" applyNumberFormat="1">
      <alignment horizontal="center" shrinkToFit="0" vertical="center" wrapText="1"/>
    </xf>
    <xf borderId="24" fillId="2" fontId="1" numFmtId="0" xfId="0" applyAlignment="1" applyBorder="1" applyFont="1">
      <alignment shrinkToFit="0" wrapText="1"/>
    </xf>
    <xf borderId="25" fillId="3" fontId="11" numFmtId="0" xfId="0" applyAlignment="1" applyBorder="1" applyFont="1">
      <alignment horizontal="center" shrinkToFit="0" vertical="center" wrapText="1"/>
    </xf>
    <xf borderId="26" fillId="0" fontId="7" numFmtId="0" xfId="0" applyBorder="1" applyFont="1"/>
    <xf borderId="27" fillId="0" fontId="7" numFmtId="0" xfId="0" applyBorder="1" applyFont="1"/>
    <xf borderId="0" fillId="3" fontId="11" numFmtId="0" xfId="0" applyAlignment="1" applyFont="1">
      <alignment horizontal="center" shrinkToFit="0" vertical="center" wrapText="1"/>
    </xf>
    <xf borderId="13" fillId="4" fontId="12" numFmtId="4" xfId="0" applyAlignment="1" applyBorder="1" applyFont="1" applyNumberFormat="1">
      <alignment horizontal="center" shrinkToFit="0" vertical="center" wrapText="1"/>
    </xf>
    <xf borderId="13" fillId="4" fontId="12" numFmtId="4" xfId="0" applyAlignment="1" applyBorder="1" applyFont="1" applyNumberFormat="1">
      <alignment horizontal="center" readingOrder="0" shrinkToFit="0" vertical="center" wrapText="1"/>
    </xf>
    <xf borderId="11" fillId="2" fontId="18" numFmtId="4" xfId="0" applyAlignment="1" applyBorder="1" applyFont="1" applyNumberFormat="1">
      <alignment horizontal="center" shrinkToFit="0" vertical="center" wrapText="1"/>
    </xf>
    <xf borderId="11" fillId="0" fontId="1" numFmtId="10" xfId="0" applyAlignment="1" applyBorder="1" applyFont="1" applyNumberFormat="1">
      <alignment horizontal="center" shrinkToFit="0" vertical="center" wrapText="1"/>
    </xf>
    <xf borderId="11" fillId="0" fontId="18" numFmtId="0" xfId="0" applyAlignment="1" applyBorder="1" applyFont="1">
      <alignment horizontal="center" readingOrder="0" shrinkToFit="0" vertical="center" wrapText="1"/>
    </xf>
    <xf borderId="11" fillId="0" fontId="1" numFmtId="3" xfId="0" applyAlignment="1" applyBorder="1" applyFont="1" applyNumberFormat="1">
      <alignment horizontal="center" shrinkToFit="0" wrapText="1"/>
    </xf>
    <xf borderId="11" fillId="0" fontId="1" numFmtId="0" xfId="0" applyAlignment="1" applyBorder="1" applyFont="1">
      <alignment horizontal="center" shrinkToFit="0" wrapText="1"/>
    </xf>
    <xf borderId="11" fillId="0" fontId="1" numFmtId="10" xfId="0" applyAlignment="1" applyBorder="1" applyFont="1" applyNumberFormat="1">
      <alignment horizontal="center" shrinkToFit="0" wrapText="1"/>
    </xf>
    <xf borderId="15" fillId="8" fontId="1" numFmtId="4" xfId="0" applyAlignment="1" applyBorder="1" applyFont="1" applyNumberFormat="1">
      <alignment horizontal="center" shrinkToFit="0" vertical="center" wrapText="1"/>
    </xf>
    <xf borderId="15" fillId="3" fontId="28" numFmtId="0" xfId="0" applyAlignment="1" applyBorder="1" applyFont="1">
      <alignment horizontal="center" shrinkToFit="0" vertical="center" wrapText="1"/>
    </xf>
    <xf borderId="15" fillId="3" fontId="22" numFmtId="4" xfId="0" applyAlignment="1" applyBorder="1" applyFont="1" applyNumberFormat="1">
      <alignment horizontal="center" shrinkToFit="0" vertical="center" wrapText="1"/>
    </xf>
    <xf borderId="19" fillId="3" fontId="22" numFmtId="4" xfId="0" applyAlignment="1" applyBorder="1" applyFont="1" applyNumberFormat="1">
      <alignment horizontal="center" shrinkToFit="0" vertical="center" wrapText="1"/>
    </xf>
    <xf borderId="16" fillId="4" fontId="12" numFmtId="0" xfId="0" applyAlignment="1" applyBorder="1" applyFont="1">
      <alignment horizontal="center" shrinkToFit="0" vertical="center" wrapText="1"/>
    </xf>
    <xf borderId="13" fillId="5" fontId="12" numFmtId="0" xfId="0" applyAlignment="1" applyBorder="1" applyFont="1">
      <alignment horizontal="center" shrinkToFit="0" vertical="center" wrapText="1"/>
    </xf>
    <xf borderId="13" fillId="5" fontId="12" numFmtId="4" xfId="0" applyAlignment="1" applyBorder="1" applyFont="1" applyNumberFormat="1">
      <alignment horizontal="center" shrinkToFit="0" vertical="center" wrapText="1"/>
    </xf>
    <xf borderId="28" fillId="2" fontId="1" numFmtId="0" xfId="0" applyAlignment="1" applyBorder="1" applyFont="1">
      <alignment shrinkToFit="0" wrapText="1"/>
    </xf>
    <xf borderId="11" fillId="2" fontId="18" numFmtId="0" xfId="0" applyAlignment="1" applyBorder="1" applyFont="1">
      <alignment horizontal="center" shrinkToFit="0" vertical="center" wrapText="1"/>
    </xf>
    <xf borderId="15" fillId="9" fontId="2" numFmtId="3" xfId="0" applyAlignment="1" applyBorder="1" applyFont="1" applyNumberFormat="1">
      <alignment vertical="center"/>
    </xf>
    <xf borderId="15" fillId="3" fontId="2" numFmtId="0" xfId="0" applyAlignment="1" applyBorder="1" applyFont="1">
      <alignment vertical="center"/>
    </xf>
    <xf borderId="15" fillId="3" fontId="2" numFmtId="164" xfId="0" applyAlignment="1" applyBorder="1" applyFont="1" applyNumberFormat="1">
      <alignment vertical="center"/>
    </xf>
    <xf borderId="11" fillId="3" fontId="28" numFmtId="0" xfId="0" applyAlignment="1" applyBorder="1" applyFont="1">
      <alignment horizontal="center" shrinkToFit="0" vertical="center" wrapText="1"/>
    </xf>
    <xf borderId="19" fillId="3" fontId="22" numFmtId="3" xfId="0" applyAlignment="1" applyBorder="1" applyFont="1" applyNumberFormat="1">
      <alignment horizontal="center" shrinkToFit="0" vertical="center" wrapText="1"/>
    </xf>
    <xf borderId="11" fillId="3" fontId="2" numFmtId="164" xfId="0" applyAlignment="1" applyBorder="1" applyFont="1" applyNumberFormat="1">
      <alignment vertical="center"/>
    </xf>
    <xf borderId="19" fillId="3" fontId="2" numFmtId="0" xfId="0" applyAlignment="1" applyBorder="1" applyFont="1">
      <alignment vertical="center"/>
    </xf>
    <xf borderId="0" fillId="3" fontId="2" numFmtId="0" xfId="0" applyFont="1"/>
    <xf borderId="14" fillId="5" fontId="12" numFmtId="0" xfId="0" applyAlignment="1" applyBorder="1" applyFont="1">
      <alignment horizontal="center" shrinkToFit="0" wrapText="1"/>
    </xf>
    <xf borderId="13" fillId="5" fontId="12" numFmtId="0" xfId="0" applyAlignment="1" applyBorder="1" applyFont="1">
      <alignment horizontal="center" shrinkToFit="0" wrapText="1"/>
    </xf>
    <xf borderId="0" fillId="9" fontId="2" numFmtId="3" xfId="0" applyFont="1" applyNumberFormat="1"/>
    <xf borderId="11" fillId="3" fontId="11" numFmtId="3" xfId="0" applyAlignment="1" applyBorder="1" applyFont="1" applyNumberFormat="1">
      <alignment horizontal="center" shrinkToFit="0" wrapText="1"/>
    </xf>
    <xf borderId="15" fillId="8" fontId="1" numFmtId="3" xfId="0" applyAlignment="1" applyBorder="1" applyFont="1" applyNumberFormat="1">
      <alignment horizontal="center" readingOrder="0" shrinkToFit="0" vertical="center" wrapText="1"/>
    </xf>
    <xf borderId="15" fillId="8" fontId="1" numFmtId="4" xfId="0" applyAlignment="1" applyBorder="1" applyFont="1" applyNumberFormat="1">
      <alignment horizontal="center" readingOrder="0" shrinkToFit="0" vertical="center" wrapText="1"/>
    </xf>
    <xf borderId="19" fillId="3" fontId="11" numFmtId="2" xfId="0" applyAlignment="1" applyBorder="1" applyFont="1" applyNumberFormat="1">
      <alignment horizontal="center" shrinkToFit="0" vertical="center" wrapText="1"/>
    </xf>
    <xf borderId="0" fillId="2" fontId="1" numFmtId="0" xfId="0" applyAlignment="1" applyFont="1">
      <alignment readingOrder="0" shrinkToFit="0" wrapText="1"/>
    </xf>
    <xf borderId="0" fillId="0" fontId="3" numFmtId="4" xfId="0" applyFont="1" applyNumberFormat="1"/>
    <xf borderId="0" fillId="0" fontId="3" numFmtId="164" xfId="0" applyAlignment="1" applyFont="1" applyNumberFormat="1">
      <alignment vertical="center"/>
    </xf>
    <xf borderId="0" fillId="0" fontId="3" numFmtId="0" xfId="0" applyAlignment="1" applyFont="1">
      <alignment vertical="center"/>
    </xf>
    <xf borderId="0" fillId="0" fontId="30" numFmtId="4" xfId="0" applyFont="1" applyNumberFormat="1"/>
    <xf borderId="0" fillId="0" fontId="30" numFmtId="0" xfId="0" applyAlignment="1" applyFont="1">
      <alignment vertical="center"/>
    </xf>
    <xf borderId="0" fillId="0" fontId="30" numFmtId="0" xfId="0" applyAlignment="1" applyFont="1">
      <alignment readingOrder="0"/>
    </xf>
    <xf borderId="0" fillId="0" fontId="30" numFmtId="10" xfId="0" applyFont="1" applyNumberFormat="1"/>
    <xf borderId="0" fillId="0" fontId="30" numFmtId="4" xfId="0" applyAlignment="1" applyFont="1" applyNumberFormat="1">
      <alignment readingOrder="0"/>
    </xf>
    <xf borderId="0" fillId="0" fontId="30" numFmtId="0" xfId="0" applyFont="1"/>
    <xf borderId="0" fillId="0" fontId="31" numFmtId="0" xfId="0" applyAlignment="1" applyFont="1">
      <alignment readingOrder="0"/>
    </xf>
    <xf borderId="0" fillId="0" fontId="30" numFmtId="0" xfId="0" applyAlignment="1" applyFont="1">
      <alignment horizontal="center" readingOrder="0"/>
    </xf>
    <xf borderId="0" fillId="0" fontId="30" numFmtId="3" xfId="0" applyAlignment="1" applyFont="1" applyNumberFormat="1">
      <alignment readingOrder="0"/>
    </xf>
    <xf borderId="0" fillId="0" fontId="30" numFmtId="3" xfId="0" applyAlignment="1" applyFont="1" applyNumberFormat="1">
      <alignment horizontal="center" readingOrder="0"/>
    </xf>
    <xf borderId="11" fillId="7" fontId="18" numFmtId="0" xfId="0" applyAlignment="1" applyBorder="1" applyFont="1">
      <alignment horizontal="left" shrinkToFit="0" vertical="center" wrapText="1"/>
    </xf>
    <xf borderId="11" fillId="7" fontId="25" numFmtId="3" xfId="0" applyAlignment="1" applyBorder="1" applyFont="1" applyNumberFormat="1">
      <alignment horizontal="center" readingOrder="0" shrinkToFit="0" vertical="center" wrapText="1"/>
    </xf>
    <xf borderId="0" fillId="0" fontId="2" numFmtId="0" xfId="0" applyFont="1"/>
    <xf borderId="0" fillId="0" fontId="30" numFmtId="0" xfId="0" applyFont="1"/>
    <xf borderId="0" fillId="0" fontId="30"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Sheet2!$E$4:$F$4</c:f>
            </c:strRef>
          </c:tx>
          <c:spPr>
            <a:ln cmpd="sng">
              <a:solidFill>
                <a:srgbClr val="FFD609"/>
              </a:solidFill>
            </a:ln>
          </c:spPr>
          <c:marker>
            <c:symbol val="none"/>
          </c:marker>
          <c:dLbls>
            <c:numFmt formatCode="General" sourceLinked="1"/>
            <c:txPr>
              <a:bodyPr/>
              <a:lstStyle/>
              <a:p>
                <a:pPr lvl="0">
                  <a:defRPr b="1"/>
                </a:pPr>
              </a:p>
            </c:txPr>
            <c:showLegendKey val="0"/>
            <c:showVal val="1"/>
            <c:showCatName val="0"/>
            <c:showSerName val="0"/>
            <c:showPercent val="0"/>
            <c:showBubbleSize val="0"/>
          </c:dLbls>
          <c:cat>
            <c:strRef>
              <c:f>Sheet2!$G$3:$Q$3</c:f>
            </c:strRef>
          </c:cat>
          <c:val>
            <c:numRef>
              <c:f>Sheet2!$G$4:$Q$4</c:f>
              <c:numCache/>
            </c:numRef>
          </c:val>
          <c:smooth val="1"/>
        </c:ser>
        <c:ser>
          <c:idx val="1"/>
          <c:order val="1"/>
          <c:tx>
            <c:strRef>
              <c:f>Sheet2!$E$5:$F$5</c:f>
            </c:strRef>
          </c:tx>
          <c:spPr>
            <a:ln cmpd="sng">
              <a:solidFill>
                <a:srgbClr val="CC0000">
                  <a:alpha val="100000"/>
                </a:srgbClr>
              </a:solidFill>
            </a:ln>
          </c:spPr>
          <c:marker>
            <c:symbol val="none"/>
          </c:marker>
          <c:dPt>
            <c:idx val="6"/>
            <c:marker>
              <c:symbol val="none"/>
            </c:marker>
          </c:dPt>
          <c:dLbls>
            <c:numFmt formatCode="General" sourceLinked="1"/>
            <c:txPr>
              <a:bodyPr/>
              <a:lstStyle/>
              <a:p>
                <a:pPr lvl="0">
                  <a:defRPr b="1"/>
                </a:pPr>
              </a:p>
            </c:txPr>
            <c:showLegendKey val="0"/>
            <c:showVal val="1"/>
            <c:showCatName val="0"/>
            <c:showSerName val="0"/>
            <c:showPercent val="0"/>
            <c:showBubbleSize val="0"/>
          </c:dLbls>
          <c:cat>
            <c:strRef>
              <c:f>Sheet2!$G$3:$Q$3</c:f>
            </c:strRef>
          </c:cat>
          <c:val>
            <c:numRef>
              <c:f>Sheet2!$G$5:$Q$5</c:f>
              <c:numCache/>
            </c:numRef>
          </c:val>
          <c:smooth val="1"/>
        </c:ser>
        <c:ser>
          <c:idx val="2"/>
          <c:order val="2"/>
          <c:tx>
            <c:strRef>
              <c:f>Sheet2!$E$6:$F$6</c:f>
            </c:strRef>
          </c:tx>
          <c:spPr>
            <a:ln cmpd="sng">
              <a:solidFill>
                <a:srgbClr val="000000">
                  <a:alpha val="100000"/>
                </a:srgbClr>
              </a:solidFill>
            </a:ln>
          </c:spPr>
          <c:marker>
            <c:symbol val="none"/>
          </c:marker>
          <c:dLbls>
            <c:numFmt formatCode="General" sourceLinked="1"/>
            <c:txPr>
              <a:bodyPr/>
              <a:lstStyle/>
              <a:p>
                <a:pPr lvl="0">
                  <a:defRPr b="1"/>
                </a:pPr>
              </a:p>
            </c:txPr>
            <c:showLegendKey val="0"/>
            <c:showVal val="1"/>
            <c:showCatName val="0"/>
            <c:showSerName val="0"/>
            <c:showPercent val="0"/>
            <c:showBubbleSize val="0"/>
          </c:dLbls>
          <c:cat>
            <c:strRef>
              <c:f>Sheet2!$G$3:$Q$3</c:f>
            </c:strRef>
          </c:cat>
          <c:val>
            <c:numRef>
              <c:f>Sheet2!$G$6:$Q$6</c:f>
              <c:numCache/>
            </c:numRef>
          </c:val>
          <c:smooth val="1"/>
        </c:ser>
        <c:axId val="711064334"/>
        <c:axId val="579681984"/>
      </c:lineChart>
      <c:catAx>
        <c:axId val="711064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79681984"/>
      </c:catAx>
      <c:valAx>
        <c:axId val="5796819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106433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0</xdr:row>
      <xdr:rowOff>228600</xdr:rowOff>
    </xdr:from>
    <xdr:ext cx="838200" cy="952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0</xdr:row>
      <xdr:rowOff>228600</xdr:rowOff>
    </xdr:from>
    <xdr:ext cx="838200" cy="952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0</xdr:row>
      <xdr:rowOff>228600</xdr:rowOff>
    </xdr:from>
    <xdr:ext cx="838200" cy="952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933450</xdr:colOff>
      <xdr:row>11</xdr:row>
      <xdr:rowOff>38100</xdr:rowOff>
    </xdr:from>
    <xdr:ext cx="10534650" cy="4086225"/>
    <xdr:graphicFrame>
      <xdr:nvGraphicFramePr>
        <xdr:cNvPr id="824143478"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FFD609"/>
      </a:accent1>
      <a:accent2>
        <a:srgbClr val="FFEEA8"/>
      </a:accent2>
      <a:accent3>
        <a:srgbClr val="FFF2CC"/>
      </a:accent3>
      <a:accent4>
        <a:srgbClr val="CCCCCC"/>
      </a:accent4>
      <a:accent5>
        <a:srgbClr val="D9D9D9"/>
      </a:accent5>
      <a:accent6>
        <a:srgbClr val="EFEFEF"/>
      </a:accent6>
      <a:hlink>
        <a:srgbClr val="F09200"/>
      </a:hlink>
      <a:folHlink>
        <a:srgbClr val="F092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0"/>
  <cols>
    <col customWidth="1" min="1" max="1" width="3.13"/>
    <col customWidth="1" min="2" max="2" width="24.63"/>
    <col customWidth="1" min="3" max="3" width="29.63"/>
    <col customWidth="1" min="4" max="6" width="16.0"/>
    <col customWidth="1" min="7" max="7" width="13.5"/>
    <col customWidth="1" min="8" max="19" width="16.0"/>
    <col customWidth="1" min="20" max="23" width="13.38"/>
    <col customWidth="1" min="24" max="24" width="15.75"/>
    <col customWidth="1" min="25" max="25" width="12.5"/>
    <col customWidth="1" min="26" max="31" width="17.38"/>
    <col customWidth="1" min="32" max="34" width="19.5"/>
    <col customWidth="1" hidden="1" min="35" max="35" width="9.5"/>
    <col customWidth="1" min="36" max="38" width="19.5"/>
    <col customWidth="1" min="39" max="41" width="19.0"/>
    <col customWidth="1" hidden="1" min="42" max="42" width="9.5"/>
    <col customWidth="1" min="43" max="45" width="19.0"/>
    <col customWidth="1" min="46" max="48" width="17.63"/>
    <col customWidth="1" min="49" max="56" width="9.5"/>
    <col customWidth="1" min="57" max="62" width="3.88"/>
    <col customWidth="1" hidden="1" min="63" max="81" width="12.63"/>
  </cols>
  <sheetData>
    <row r="1" ht="18.0" customHeight="1">
      <c r="A1" s="1"/>
      <c r="B1" s="2"/>
      <c r="C1" s="2"/>
      <c r="D1" s="2"/>
      <c r="E1" s="2"/>
      <c r="F1" s="2"/>
      <c r="G1" s="2"/>
      <c r="H1" s="2"/>
      <c r="I1" s="3"/>
      <c r="J1" s="3"/>
      <c r="K1" s="3"/>
      <c r="L1" s="3" t="s">
        <v>0</v>
      </c>
      <c r="M1" s="3"/>
      <c r="N1" s="3"/>
      <c r="O1" s="3"/>
      <c r="P1" s="3"/>
      <c r="Q1" s="3"/>
      <c r="R1" s="3"/>
      <c r="S1" s="3"/>
      <c r="T1" s="3"/>
      <c r="U1" s="3"/>
      <c r="V1" s="3"/>
      <c r="W1" s="3"/>
      <c r="X1" s="3"/>
      <c r="Y1" s="2"/>
      <c r="Z1" s="2"/>
      <c r="AA1" s="2"/>
      <c r="AB1" s="2"/>
      <c r="AC1" s="2"/>
      <c r="AD1" s="2"/>
      <c r="AE1" s="2"/>
      <c r="AF1" s="2"/>
      <c r="AG1" s="2"/>
      <c r="AH1" s="2"/>
      <c r="AI1" s="2"/>
      <c r="AJ1" s="2"/>
      <c r="AK1" s="2"/>
      <c r="AL1" s="2"/>
      <c r="AM1" s="4"/>
      <c r="AN1" s="4"/>
      <c r="AO1" s="4"/>
      <c r="AP1" s="2"/>
      <c r="AQ1" s="4"/>
      <c r="AR1" s="4"/>
      <c r="AS1" s="4"/>
      <c r="AT1" s="5"/>
      <c r="AU1" s="5"/>
      <c r="AV1" s="5"/>
      <c r="AW1" s="5"/>
      <c r="AX1" s="5"/>
      <c r="AY1" s="5"/>
      <c r="AZ1" s="5"/>
      <c r="BA1" s="5"/>
      <c r="BB1" s="5"/>
      <c r="BC1" s="5"/>
      <c r="BD1" s="5"/>
      <c r="BE1" s="2"/>
      <c r="BF1" s="6"/>
      <c r="BG1" s="6"/>
      <c r="BH1" s="6"/>
      <c r="BI1" s="6"/>
      <c r="BJ1" s="6"/>
      <c r="BK1" s="7"/>
      <c r="BL1" s="7"/>
      <c r="BM1" s="7"/>
      <c r="BN1" s="7"/>
      <c r="BO1" s="7"/>
      <c r="BP1" s="7"/>
      <c r="BQ1" s="7"/>
      <c r="BR1" s="7"/>
      <c r="BS1" s="7"/>
      <c r="BT1" s="7"/>
      <c r="BU1" s="7"/>
      <c r="BV1" s="7"/>
      <c r="BW1" s="7"/>
      <c r="BX1" s="7"/>
      <c r="BY1" s="7"/>
      <c r="BZ1" s="7"/>
      <c r="CA1" s="7"/>
      <c r="CB1" s="7"/>
      <c r="CC1" s="7"/>
    </row>
    <row r="2" ht="30.0" customHeight="1">
      <c r="A2" s="2"/>
      <c r="B2" s="8" t="s">
        <v>1</v>
      </c>
      <c r="C2" s="9" t="s">
        <v>2</v>
      </c>
      <c r="D2" s="10"/>
      <c r="E2" s="11"/>
      <c r="F2" s="12"/>
      <c r="G2" s="12"/>
      <c r="H2" s="12"/>
      <c r="I2" s="13"/>
      <c r="J2" s="13"/>
      <c r="K2" s="14"/>
      <c r="L2" s="14"/>
      <c r="M2" s="13"/>
      <c r="N2" s="13"/>
      <c r="O2" s="13"/>
      <c r="P2" s="13"/>
      <c r="Q2" s="14"/>
      <c r="R2" s="14"/>
      <c r="S2" s="14"/>
      <c r="T2" s="14"/>
      <c r="U2" s="14"/>
      <c r="V2" s="14"/>
      <c r="W2" s="14"/>
      <c r="X2" s="14"/>
      <c r="Y2" s="15"/>
      <c r="Z2" s="15"/>
      <c r="AA2" s="15"/>
      <c r="AB2" s="15"/>
      <c r="AC2" s="15"/>
      <c r="AD2" s="15"/>
      <c r="AE2" s="15"/>
      <c r="AF2" s="15"/>
      <c r="AG2" s="15"/>
      <c r="AH2" s="15"/>
      <c r="AI2" s="15"/>
      <c r="AJ2" s="15"/>
      <c r="AK2" s="15"/>
      <c r="AL2" s="15"/>
      <c r="AM2" s="4"/>
      <c r="AN2" s="4"/>
      <c r="AO2" s="4"/>
      <c r="AP2" s="15"/>
      <c r="AQ2" s="4"/>
      <c r="AR2" s="4"/>
      <c r="AS2" s="4"/>
      <c r="AT2" s="5"/>
      <c r="AU2" s="5"/>
      <c r="AV2" s="5"/>
      <c r="AW2" s="5"/>
      <c r="AX2" s="5"/>
      <c r="AY2" s="5"/>
      <c r="AZ2" s="5"/>
      <c r="BA2" s="5"/>
      <c r="BB2" s="5"/>
      <c r="BC2" s="5"/>
      <c r="BD2" s="5"/>
      <c r="BE2" s="2"/>
      <c r="BF2" s="6"/>
      <c r="BG2" s="6"/>
      <c r="BH2" s="6"/>
      <c r="BI2" s="6"/>
      <c r="BJ2" s="6"/>
      <c r="BK2" s="7"/>
      <c r="BL2" s="7"/>
      <c r="BM2" s="7"/>
      <c r="BN2" s="7"/>
      <c r="BO2" s="7"/>
      <c r="BP2" s="7"/>
      <c r="BQ2" s="7"/>
      <c r="BR2" s="7"/>
      <c r="BS2" s="7"/>
      <c r="BT2" s="7"/>
      <c r="BU2" s="7"/>
      <c r="BV2" s="7"/>
      <c r="BW2" s="7"/>
      <c r="BX2" s="7"/>
      <c r="BY2" s="7"/>
      <c r="BZ2" s="7"/>
      <c r="CA2" s="7"/>
      <c r="CB2" s="7"/>
      <c r="CC2" s="7"/>
    </row>
    <row r="3" ht="30.0" customHeight="1">
      <c r="A3" s="2"/>
      <c r="B3" s="16" t="s">
        <v>3</v>
      </c>
      <c r="C3" s="17" t="s">
        <v>4</v>
      </c>
      <c r="D3" s="10"/>
      <c r="E3" s="11"/>
      <c r="F3" s="12"/>
      <c r="G3" s="12"/>
      <c r="H3" s="12"/>
      <c r="I3" s="10"/>
      <c r="J3" s="18" t="str">
        <f>IFERROR(__xludf.DUMMYFUNCTION("AI(""i need you to act like a best in class media planner, can you summarise the story we're seeing here across reach and frequency across audiences between months"",C11:Y14)"),"Here's a summary of the reach and frequency data across audiences between months:  * **Subscribers:** The subscriber audience size remained consistent at 1,700,000 from February to April. Reach fluctuated, with the highest in February (175,705) and April "&amp;"(204,169). Frequency decreased over time, from 3.72 in February to 1.16 in May.
  * **ABM/Custom:** The ABM/Custom audience size was consistently at 18,700 from February to April. Reach increased from February (15,575) to March (24,540), before decreasing"&amp;" in April (14,773). Frequency was highest in February (10.38) and decreased to 0.95 in May.")</f>
        <v>Here's a summary of the reach and frequency data across audiences between months:  * **Subscribers:** The subscriber audience size remained consistent at 1,700,000 from February to April. Reach fluctuated, with the highest in February (175,705) and April (204,169). Frequency decreased over time, from 3.72 in February to 1.16 in May.
  * **ABM/Custom:** The ABM/Custom audience size was consistently at 18,700 from February to April. Reach increased from February (15,575) to March (24,540), before decreasing in April (14,773). Frequency was highest in February (10.38) and decreased to 0.95 in May.</v>
      </c>
      <c r="K3" s="19"/>
      <c r="L3" s="19"/>
      <c r="M3" s="19"/>
      <c r="N3" s="19"/>
      <c r="O3" s="19"/>
      <c r="P3" s="19"/>
      <c r="Q3" s="20"/>
      <c r="R3" s="15"/>
      <c r="S3" s="10"/>
      <c r="T3" s="10"/>
      <c r="U3" s="10"/>
      <c r="V3" s="10"/>
      <c r="W3" s="10"/>
      <c r="X3" s="15"/>
      <c r="Y3" s="15"/>
      <c r="Z3" s="15"/>
      <c r="AA3" s="15"/>
      <c r="AB3" s="15"/>
      <c r="AC3" s="15"/>
      <c r="AD3" s="15"/>
      <c r="AE3" s="15"/>
      <c r="AF3" s="15"/>
      <c r="AG3" s="15"/>
      <c r="AH3" s="15"/>
      <c r="AI3" s="15"/>
      <c r="AJ3" s="15"/>
      <c r="AK3" s="15"/>
      <c r="AL3" s="15"/>
      <c r="AM3" s="4"/>
      <c r="AN3" s="4"/>
      <c r="AO3" s="4"/>
      <c r="AP3" s="15"/>
      <c r="AQ3" s="4"/>
      <c r="AR3" s="4"/>
      <c r="AS3" s="4"/>
      <c r="AT3" s="5"/>
      <c r="AU3" s="5"/>
      <c r="AV3" s="5"/>
      <c r="AW3" s="5"/>
      <c r="AX3" s="5"/>
      <c r="AY3" s="5"/>
      <c r="AZ3" s="5"/>
      <c r="BA3" s="5"/>
      <c r="BB3" s="5"/>
      <c r="BC3" s="5"/>
      <c r="BD3" s="5"/>
      <c r="BE3" s="2"/>
      <c r="BF3" s="6"/>
      <c r="BG3" s="6"/>
      <c r="BH3" s="6"/>
      <c r="BI3" s="6"/>
      <c r="BJ3" s="6"/>
      <c r="BK3" s="7"/>
      <c r="BL3" s="7"/>
      <c r="BM3" s="7"/>
      <c r="BN3" s="7"/>
      <c r="BO3" s="7"/>
      <c r="BP3" s="7"/>
      <c r="BQ3" s="7"/>
      <c r="BR3" s="7"/>
      <c r="BS3" s="7"/>
      <c r="BT3" s="7"/>
      <c r="BU3" s="7"/>
      <c r="BV3" s="7"/>
      <c r="BW3" s="7"/>
      <c r="BX3" s="7"/>
      <c r="BY3" s="7"/>
      <c r="BZ3" s="7"/>
      <c r="CA3" s="7"/>
      <c r="CB3" s="7"/>
      <c r="CC3" s="7"/>
    </row>
    <row r="4" ht="30.0" customHeight="1">
      <c r="A4" s="2"/>
      <c r="B4" s="16" t="s">
        <v>5</v>
      </c>
      <c r="C4" s="17" t="s">
        <v>6</v>
      </c>
      <c r="D4" s="10"/>
      <c r="E4" s="11"/>
      <c r="F4" s="21"/>
      <c r="G4" s="21"/>
      <c r="H4" s="21"/>
      <c r="I4" s="10"/>
      <c r="J4" s="22"/>
      <c r="Q4" s="23"/>
      <c r="R4" s="14"/>
      <c r="S4" s="10"/>
      <c r="T4" s="10"/>
      <c r="U4" s="10"/>
      <c r="V4" s="10"/>
      <c r="W4" s="10"/>
      <c r="X4" s="24"/>
      <c r="Y4" s="15"/>
      <c r="Z4" s="15"/>
      <c r="AA4" s="15"/>
      <c r="AB4" s="15"/>
      <c r="AC4" s="15"/>
      <c r="AD4" s="15"/>
      <c r="AE4" s="15"/>
      <c r="AF4" s="15"/>
      <c r="AG4" s="15"/>
      <c r="AH4" s="15"/>
      <c r="AI4" s="15"/>
      <c r="AJ4" s="15"/>
      <c r="AK4" s="15"/>
      <c r="AL4" s="15"/>
      <c r="AM4" s="4"/>
      <c r="AN4" s="4"/>
      <c r="AO4" s="4"/>
      <c r="AP4" s="25"/>
      <c r="AQ4" s="4"/>
      <c r="AR4" s="4"/>
      <c r="AS4" s="4"/>
      <c r="AT4" s="5"/>
      <c r="AU4" s="5"/>
      <c r="AV4" s="5"/>
      <c r="AW4" s="5"/>
      <c r="AX4" s="5"/>
      <c r="AY4" s="5"/>
      <c r="AZ4" s="5"/>
      <c r="BA4" s="5"/>
      <c r="BB4" s="5"/>
      <c r="BC4" s="5"/>
      <c r="BD4" s="5"/>
      <c r="BE4" s="2"/>
      <c r="BF4" s="6"/>
      <c r="BG4" s="6"/>
      <c r="BH4" s="6"/>
      <c r="BI4" s="6"/>
      <c r="BJ4" s="6"/>
      <c r="BK4" s="7"/>
      <c r="BL4" s="7"/>
      <c r="BM4" s="7"/>
      <c r="BN4" s="7"/>
      <c r="BO4" s="7"/>
      <c r="BP4" s="7"/>
      <c r="BQ4" s="7"/>
      <c r="BR4" s="7"/>
      <c r="BS4" s="7"/>
      <c r="BT4" s="7"/>
      <c r="BU4" s="7"/>
      <c r="BV4" s="7"/>
      <c r="BW4" s="7"/>
      <c r="BX4" s="7"/>
      <c r="BY4" s="7"/>
      <c r="BZ4" s="7"/>
      <c r="CA4" s="7"/>
      <c r="CB4" s="7"/>
      <c r="CC4" s="7"/>
    </row>
    <row r="5" ht="30.0" customHeight="1">
      <c r="A5" s="2"/>
      <c r="B5" s="16" t="s">
        <v>7</v>
      </c>
      <c r="C5" s="17" t="s">
        <v>8</v>
      </c>
      <c r="D5" s="10"/>
      <c r="E5" s="11"/>
      <c r="F5" s="10"/>
      <c r="G5" s="10"/>
      <c r="H5" s="10"/>
      <c r="I5" s="10"/>
      <c r="J5" s="22"/>
      <c r="Q5" s="23"/>
      <c r="R5" s="14"/>
      <c r="S5" s="10"/>
      <c r="T5" s="10"/>
      <c r="U5" s="10"/>
      <c r="V5" s="10"/>
      <c r="W5" s="10"/>
      <c r="X5" s="14"/>
      <c r="Y5" s="15"/>
      <c r="Z5" s="15"/>
      <c r="AA5" s="15"/>
      <c r="AB5" s="15"/>
      <c r="AC5" s="15"/>
      <c r="AD5" s="15"/>
      <c r="AE5" s="15"/>
      <c r="AF5" s="15"/>
      <c r="AG5" s="15"/>
      <c r="AH5" s="15"/>
      <c r="AI5" s="15"/>
      <c r="AJ5" s="15"/>
      <c r="AK5" s="15"/>
      <c r="AL5" s="15"/>
      <c r="AM5" s="4"/>
      <c r="AN5" s="4"/>
      <c r="AO5" s="4"/>
      <c r="AP5" s="15"/>
      <c r="AQ5" s="4"/>
      <c r="AR5" s="4"/>
      <c r="AS5" s="4"/>
      <c r="AT5" s="5"/>
      <c r="AU5" s="5"/>
      <c r="AV5" s="5"/>
      <c r="AW5" s="5"/>
      <c r="AX5" s="5"/>
      <c r="AY5" s="5"/>
      <c r="AZ5" s="5"/>
      <c r="BA5" s="5"/>
      <c r="BB5" s="5"/>
      <c r="BC5" s="5"/>
      <c r="BD5" s="5"/>
      <c r="BE5" s="2"/>
      <c r="BF5" s="6"/>
      <c r="BG5" s="6"/>
      <c r="BH5" s="6"/>
      <c r="BI5" s="6"/>
      <c r="BJ5" s="6"/>
      <c r="BK5" s="7"/>
      <c r="BL5" s="7"/>
      <c r="BM5" s="7"/>
      <c r="BN5" s="7"/>
      <c r="BO5" s="7"/>
      <c r="BP5" s="7"/>
      <c r="BQ5" s="7"/>
      <c r="BR5" s="7"/>
      <c r="BS5" s="7"/>
      <c r="BT5" s="7"/>
      <c r="BU5" s="7"/>
      <c r="BV5" s="7"/>
      <c r="BW5" s="7"/>
      <c r="BX5" s="7"/>
      <c r="BY5" s="7"/>
      <c r="BZ5" s="7"/>
      <c r="CA5" s="7"/>
      <c r="CB5" s="7"/>
      <c r="CC5" s="7"/>
    </row>
    <row r="6" ht="30.0" customHeight="1">
      <c r="A6" s="2"/>
      <c r="B6" s="16" t="s">
        <v>9</v>
      </c>
      <c r="C6" s="17" t="s">
        <v>10</v>
      </c>
      <c r="D6" s="10"/>
      <c r="E6" s="10"/>
      <c r="F6" s="10"/>
      <c r="G6" s="10"/>
      <c r="H6" s="10"/>
      <c r="I6" s="10"/>
      <c r="J6" s="26"/>
      <c r="K6" s="27"/>
      <c r="L6" s="27"/>
      <c r="M6" s="27"/>
      <c r="N6" s="27"/>
      <c r="O6" s="27"/>
      <c r="P6" s="27"/>
      <c r="Q6" s="28"/>
      <c r="R6" s="14"/>
      <c r="S6" s="10"/>
      <c r="T6" s="10"/>
      <c r="U6" s="10"/>
      <c r="V6" s="10"/>
      <c r="W6" s="10"/>
      <c r="X6" s="29"/>
      <c r="Y6" s="15"/>
      <c r="Z6" s="15"/>
      <c r="AA6" s="15"/>
      <c r="AB6" s="15"/>
      <c r="AC6" s="15"/>
      <c r="AD6" s="15"/>
      <c r="AE6" s="15"/>
      <c r="AF6" s="15"/>
      <c r="AG6" s="15"/>
      <c r="AH6" s="15"/>
      <c r="AI6" s="15"/>
      <c r="AJ6" s="15"/>
      <c r="AK6" s="15"/>
      <c r="AL6" s="15"/>
      <c r="AM6" s="4"/>
      <c r="AN6" s="4"/>
      <c r="AO6" s="4"/>
      <c r="AP6" s="15"/>
      <c r="AQ6" s="4"/>
      <c r="AR6" s="4"/>
      <c r="AS6" s="4"/>
      <c r="AT6" s="5"/>
      <c r="AU6" s="5"/>
      <c r="AV6" s="5"/>
      <c r="AW6" s="5"/>
      <c r="AX6" s="5"/>
      <c r="AY6" s="5"/>
      <c r="AZ6" s="5"/>
      <c r="BA6" s="5"/>
      <c r="BB6" s="5"/>
      <c r="BC6" s="5"/>
      <c r="BD6" s="5"/>
      <c r="BE6" s="2"/>
      <c r="BF6" s="6"/>
      <c r="BG6" s="6"/>
      <c r="BH6" s="6"/>
      <c r="BI6" s="6"/>
      <c r="BJ6" s="6"/>
      <c r="BK6" s="7"/>
      <c r="BL6" s="7"/>
      <c r="BM6" s="7"/>
      <c r="BN6" s="7"/>
      <c r="BO6" s="7"/>
      <c r="BP6" s="7"/>
      <c r="BQ6" s="7"/>
      <c r="BR6" s="7"/>
      <c r="BS6" s="7"/>
      <c r="BT6" s="7"/>
      <c r="BU6" s="7"/>
      <c r="BV6" s="7"/>
      <c r="BW6" s="7"/>
      <c r="BX6" s="7"/>
      <c r="BY6" s="7"/>
      <c r="BZ6" s="7"/>
      <c r="CA6" s="7"/>
      <c r="CB6" s="7"/>
      <c r="CC6" s="7"/>
    </row>
    <row r="7" ht="30.0" customHeight="1">
      <c r="A7" s="2"/>
      <c r="B7" s="16" t="s">
        <v>11</v>
      </c>
      <c r="C7" s="30" t="s">
        <v>12</v>
      </c>
      <c r="D7" s="10"/>
      <c r="E7" s="10"/>
      <c r="F7" s="10"/>
      <c r="G7" s="10"/>
      <c r="H7" s="10"/>
      <c r="I7" s="10"/>
      <c r="J7" s="10"/>
      <c r="K7" s="10"/>
      <c r="L7" s="10"/>
      <c r="M7" s="10"/>
      <c r="N7" s="10"/>
      <c r="O7" s="10"/>
      <c r="P7" s="10"/>
      <c r="Q7" s="14"/>
      <c r="R7" s="14"/>
      <c r="S7" s="10"/>
      <c r="T7" s="10"/>
      <c r="U7" s="10"/>
      <c r="V7" s="10"/>
      <c r="W7" s="10"/>
      <c r="X7" s="29"/>
      <c r="Y7" s="15"/>
      <c r="Z7" s="15"/>
      <c r="AA7" s="15"/>
      <c r="AB7" s="15"/>
      <c r="AC7" s="15"/>
      <c r="AD7" s="15"/>
      <c r="AE7" s="15"/>
      <c r="AF7" s="15"/>
      <c r="AG7" s="15"/>
      <c r="AH7" s="15"/>
      <c r="AI7" s="15"/>
      <c r="AJ7" s="15"/>
      <c r="AK7" s="15"/>
      <c r="AL7" s="15"/>
      <c r="AM7" s="4"/>
      <c r="AN7" s="4"/>
      <c r="AO7" s="4"/>
      <c r="AP7" s="15"/>
      <c r="AQ7" s="4"/>
      <c r="AR7" s="4"/>
      <c r="AS7" s="4"/>
      <c r="AT7" s="5"/>
      <c r="AU7" s="5"/>
      <c r="AV7" s="5"/>
      <c r="AW7" s="5"/>
      <c r="AX7" s="5"/>
      <c r="AY7" s="5"/>
      <c r="AZ7" s="5"/>
      <c r="BA7" s="5"/>
      <c r="BB7" s="5"/>
      <c r="BC7" s="5"/>
      <c r="BD7" s="5"/>
      <c r="BE7" s="2"/>
      <c r="BF7" s="6"/>
      <c r="BG7" s="6"/>
      <c r="BH7" s="6"/>
      <c r="BI7" s="6"/>
      <c r="BJ7" s="6"/>
      <c r="BK7" s="7"/>
      <c r="BL7" s="7"/>
      <c r="BM7" s="7"/>
      <c r="BN7" s="7"/>
      <c r="BO7" s="7"/>
      <c r="BP7" s="7"/>
      <c r="BQ7" s="7"/>
      <c r="BR7" s="7"/>
      <c r="BS7" s="7"/>
      <c r="BT7" s="7"/>
      <c r="BU7" s="7"/>
      <c r="BV7" s="7"/>
      <c r="BW7" s="7"/>
      <c r="BX7" s="7"/>
      <c r="BY7" s="7"/>
      <c r="BZ7" s="7"/>
      <c r="CA7" s="7"/>
      <c r="CB7" s="7"/>
      <c r="CC7" s="7"/>
    </row>
    <row r="8" ht="15.75" customHeight="1">
      <c r="A8" s="2"/>
      <c r="B8" s="15"/>
      <c r="C8" s="15"/>
      <c r="D8" s="15"/>
      <c r="E8" s="15"/>
      <c r="F8" s="15"/>
      <c r="G8" s="15"/>
      <c r="H8" s="15"/>
      <c r="I8" s="14"/>
      <c r="J8" s="14"/>
      <c r="K8" s="14"/>
      <c r="L8" s="14"/>
      <c r="M8" s="14"/>
      <c r="N8" s="14"/>
      <c r="O8" s="14"/>
      <c r="P8" s="14"/>
      <c r="Q8" s="14"/>
      <c r="R8" s="14"/>
      <c r="S8" s="10"/>
      <c r="T8" s="10"/>
      <c r="U8" s="10"/>
      <c r="V8" s="10"/>
      <c r="W8" s="10"/>
      <c r="X8" s="29"/>
      <c r="Y8" s="15"/>
      <c r="Z8" s="15"/>
      <c r="AA8" s="15"/>
      <c r="AB8" s="15"/>
      <c r="AC8" s="15"/>
      <c r="AD8" s="15"/>
      <c r="AE8" s="15"/>
      <c r="AF8" s="15"/>
      <c r="AG8" s="15"/>
      <c r="AH8" s="15"/>
      <c r="AI8" s="15"/>
      <c r="AJ8" s="15"/>
      <c r="AK8" s="15"/>
      <c r="AL8" s="15"/>
      <c r="AM8" s="4"/>
      <c r="AN8" s="4"/>
      <c r="AO8" s="4"/>
      <c r="AP8" s="15"/>
      <c r="AQ8" s="4"/>
      <c r="AR8" s="4"/>
      <c r="AS8" s="4"/>
      <c r="AT8" s="5"/>
      <c r="AU8" s="5"/>
      <c r="AV8" s="5"/>
      <c r="AW8" s="5"/>
      <c r="AX8" s="5"/>
      <c r="AY8" s="5"/>
      <c r="AZ8" s="5"/>
      <c r="BA8" s="5"/>
      <c r="BB8" s="5"/>
      <c r="BC8" s="5"/>
      <c r="BD8" s="5"/>
      <c r="BE8" s="2"/>
      <c r="BF8" s="6"/>
      <c r="BG8" s="6"/>
      <c r="BH8" s="6"/>
      <c r="BI8" s="6"/>
      <c r="BJ8" s="6"/>
      <c r="BK8" s="7"/>
      <c r="BL8" s="7"/>
      <c r="BM8" s="7"/>
      <c r="BN8" s="7"/>
      <c r="BO8" s="7"/>
      <c r="BP8" s="7"/>
      <c r="BQ8" s="7"/>
      <c r="BR8" s="7"/>
      <c r="BS8" s="7"/>
      <c r="BT8" s="7"/>
      <c r="BU8" s="7"/>
      <c r="BV8" s="7"/>
      <c r="BW8" s="7"/>
      <c r="BX8" s="7"/>
      <c r="BY8" s="7"/>
      <c r="BZ8" s="7"/>
      <c r="CA8" s="7"/>
      <c r="CB8" s="7"/>
      <c r="CC8" s="7"/>
    </row>
    <row r="9" ht="21.0" customHeight="1">
      <c r="A9" s="2"/>
      <c r="B9" s="9"/>
      <c r="C9" s="9"/>
      <c r="D9" s="9"/>
      <c r="E9" s="9"/>
      <c r="F9" s="9"/>
      <c r="G9" s="9"/>
      <c r="H9" s="9"/>
      <c r="I9" s="13"/>
      <c r="J9" s="13"/>
      <c r="K9" s="13"/>
      <c r="L9" s="13"/>
      <c r="M9" s="13"/>
      <c r="N9" s="14"/>
      <c r="O9" s="14"/>
      <c r="P9" s="14"/>
      <c r="Q9" s="14"/>
      <c r="R9" s="14"/>
      <c r="S9" s="10"/>
      <c r="T9" s="10"/>
      <c r="U9" s="10"/>
      <c r="V9" s="10"/>
      <c r="W9" s="10"/>
      <c r="X9" s="14"/>
      <c r="Y9" s="15"/>
      <c r="Z9" s="15"/>
      <c r="AA9" s="15"/>
      <c r="AB9" s="15"/>
      <c r="AC9" s="15"/>
      <c r="AD9" s="15"/>
      <c r="AE9" s="15"/>
      <c r="AF9" s="15"/>
      <c r="AG9" s="15"/>
      <c r="AH9" s="15"/>
      <c r="AI9" s="15"/>
      <c r="AJ9" s="15"/>
      <c r="AK9" s="15"/>
      <c r="AL9" s="15"/>
      <c r="AM9" s="4"/>
      <c r="AN9" s="4"/>
      <c r="AO9" s="4"/>
      <c r="AP9" s="15"/>
      <c r="AQ9" s="4"/>
      <c r="AR9" s="4"/>
      <c r="AS9" s="4"/>
      <c r="AT9" s="5"/>
      <c r="AU9" s="5"/>
      <c r="AV9" s="5"/>
      <c r="AW9" s="5"/>
      <c r="AX9" s="5"/>
      <c r="AY9" s="5"/>
      <c r="AZ9" s="5"/>
      <c r="BA9" s="5"/>
      <c r="BB9" s="5"/>
      <c r="BC9" s="5"/>
      <c r="BD9" s="5"/>
      <c r="BE9" s="31"/>
      <c r="BF9" s="32"/>
      <c r="BG9" s="32"/>
      <c r="BH9" s="32"/>
      <c r="BI9" s="32"/>
      <c r="BJ9" s="32"/>
      <c r="BK9" s="6"/>
      <c r="BL9" s="6"/>
      <c r="BM9" s="6"/>
      <c r="BN9" s="6"/>
      <c r="BO9" s="6"/>
      <c r="BP9" s="6"/>
      <c r="BQ9" s="6"/>
      <c r="BR9" s="6"/>
      <c r="BS9" s="6"/>
      <c r="BT9" s="6"/>
      <c r="BU9" s="6"/>
      <c r="BV9" s="6"/>
      <c r="BW9" s="6"/>
      <c r="BX9" s="6"/>
      <c r="BY9" s="6"/>
      <c r="BZ9" s="6"/>
      <c r="CA9" s="6"/>
      <c r="CB9" s="6"/>
      <c r="CC9" s="6"/>
    </row>
    <row r="10" ht="46.5" customHeight="1">
      <c r="A10" s="2"/>
      <c r="B10" s="33" t="s">
        <v>13</v>
      </c>
      <c r="C10" s="34"/>
      <c r="D10" s="34"/>
      <c r="E10" s="34"/>
      <c r="F10" s="34"/>
      <c r="G10" s="34"/>
      <c r="H10" s="34"/>
      <c r="I10" s="34"/>
      <c r="J10" s="34"/>
      <c r="K10" s="34"/>
      <c r="L10" s="34"/>
      <c r="M10" s="34"/>
      <c r="N10" s="34"/>
      <c r="O10" s="34"/>
      <c r="P10" s="34"/>
      <c r="Q10" s="34"/>
      <c r="R10" s="34"/>
      <c r="S10" s="34"/>
      <c r="T10" s="34"/>
      <c r="U10" s="34"/>
      <c r="V10" s="34"/>
      <c r="W10" s="34"/>
      <c r="X10" s="34"/>
      <c r="Y10" s="34"/>
      <c r="Z10" s="35"/>
      <c r="AA10" s="35"/>
      <c r="AB10" s="35"/>
      <c r="AC10" s="36"/>
      <c r="AD10" s="36"/>
      <c r="AE10" s="36"/>
      <c r="AF10" s="36"/>
      <c r="AG10" s="36"/>
      <c r="AH10" s="36"/>
      <c r="AI10" s="15"/>
      <c r="AJ10" s="36"/>
      <c r="AK10" s="36"/>
      <c r="AL10" s="36"/>
      <c r="AM10" s="37"/>
      <c r="AN10" s="37"/>
      <c r="AO10" s="37"/>
      <c r="AP10" s="15"/>
      <c r="AQ10" s="37"/>
      <c r="AR10" s="37"/>
      <c r="AS10" s="37"/>
      <c r="AT10" s="37"/>
      <c r="AU10" s="37"/>
      <c r="AV10" s="37"/>
      <c r="AW10" s="5"/>
      <c r="AX10" s="5"/>
      <c r="AY10" s="5"/>
      <c r="AZ10" s="5"/>
      <c r="BA10" s="5"/>
      <c r="BB10" s="5"/>
      <c r="BC10" s="5"/>
      <c r="BD10" s="5"/>
      <c r="BE10" s="31"/>
      <c r="BF10" s="32"/>
      <c r="BG10" s="32"/>
      <c r="BH10" s="32"/>
      <c r="BI10" s="32"/>
      <c r="BJ10" s="32"/>
      <c r="BK10" s="7"/>
      <c r="BL10" s="7"/>
      <c r="BM10" s="7"/>
      <c r="BN10" s="7"/>
      <c r="BO10" s="7"/>
      <c r="BP10" s="7"/>
      <c r="BQ10" s="7"/>
      <c r="BR10" s="7"/>
      <c r="BS10" s="7"/>
      <c r="BT10" s="7"/>
      <c r="BU10" s="7"/>
      <c r="BV10" s="7"/>
      <c r="BW10" s="7"/>
      <c r="BX10" s="7"/>
      <c r="BY10" s="7"/>
      <c r="BZ10" s="7"/>
      <c r="CA10" s="7"/>
      <c r="CB10" s="7"/>
      <c r="CC10" s="7"/>
    </row>
    <row r="11" ht="30.0" customHeight="1">
      <c r="A11" s="2"/>
      <c r="B11" s="38" t="s">
        <v>14</v>
      </c>
      <c r="C11" s="39" t="s">
        <v>15</v>
      </c>
      <c r="D11" s="40" t="s">
        <v>16</v>
      </c>
      <c r="E11" s="40" t="s">
        <v>17</v>
      </c>
      <c r="F11" s="40" t="s">
        <v>18</v>
      </c>
      <c r="G11" s="40" t="s">
        <v>19</v>
      </c>
      <c r="H11" s="40" t="s">
        <v>20</v>
      </c>
      <c r="I11" s="40" t="s">
        <v>21</v>
      </c>
      <c r="J11" s="40" t="s">
        <v>22</v>
      </c>
      <c r="K11" s="40" t="s">
        <v>23</v>
      </c>
      <c r="L11" s="40" t="s">
        <v>19</v>
      </c>
      <c r="M11" s="40" t="s">
        <v>24</v>
      </c>
      <c r="N11" s="40" t="s">
        <v>25</v>
      </c>
      <c r="O11" s="41" t="s">
        <v>26</v>
      </c>
      <c r="P11" s="41" t="s">
        <v>27</v>
      </c>
      <c r="Q11" s="40" t="s">
        <v>19</v>
      </c>
      <c r="R11" s="40" t="s">
        <v>28</v>
      </c>
      <c r="S11" s="41" t="s">
        <v>29</v>
      </c>
      <c r="T11" s="41" t="s">
        <v>30</v>
      </c>
      <c r="U11" s="40" t="s">
        <v>19</v>
      </c>
      <c r="V11" s="41" t="s">
        <v>31</v>
      </c>
      <c r="W11" s="41" t="s">
        <v>32</v>
      </c>
      <c r="X11" s="40" t="s">
        <v>19</v>
      </c>
      <c r="Y11" s="41" t="s">
        <v>33</v>
      </c>
      <c r="Z11" s="42" t="s">
        <v>34</v>
      </c>
      <c r="AA11" s="43" t="s">
        <v>19</v>
      </c>
      <c r="AB11" s="42" t="s">
        <v>35</v>
      </c>
      <c r="AC11" s="42" t="s">
        <v>36</v>
      </c>
      <c r="AD11" s="43" t="s">
        <v>19</v>
      </c>
      <c r="AE11" s="42" t="s">
        <v>37</v>
      </c>
      <c r="AF11" s="42" t="s">
        <v>38</v>
      </c>
      <c r="AG11" s="43" t="s">
        <v>19</v>
      </c>
      <c r="AH11" s="42" t="s">
        <v>39</v>
      </c>
      <c r="AI11" s="15"/>
      <c r="AJ11" s="42" t="s">
        <v>40</v>
      </c>
      <c r="AK11" s="43" t="s">
        <v>19</v>
      </c>
      <c r="AL11" s="42" t="s">
        <v>41</v>
      </c>
      <c r="AM11" s="44" t="s">
        <v>42</v>
      </c>
      <c r="AN11" s="45" t="s">
        <v>19</v>
      </c>
      <c r="AO11" s="44" t="s">
        <v>43</v>
      </c>
      <c r="AP11" s="15"/>
      <c r="AQ11" s="44" t="s">
        <v>44</v>
      </c>
      <c r="AR11" s="45" t="s">
        <v>19</v>
      </c>
      <c r="AS11" s="44" t="s">
        <v>45</v>
      </c>
      <c r="AT11" s="44" t="s">
        <v>46</v>
      </c>
      <c r="AU11" s="45" t="s">
        <v>19</v>
      </c>
      <c r="AV11" s="44" t="s">
        <v>47</v>
      </c>
      <c r="AW11" s="5"/>
      <c r="AX11" s="5"/>
      <c r="AY11" s="5"/>
      <c r="AZ11" s="5"/>
      <c r="BA11" s="5"/>
      <c r="BB11" s="5"/>
      <c r="BC11" s="5"/>
      <c r="BD11" s="5"/>
      <c r="BE11" s="9"/>
      <c r="BF11" s="46"/>
      <c r="BG11" s="46"/>
      <c r="BH11" s="46"/>
      <c r="BI11" s="46"/>
      <c r="BJ11" s="46"/>
      <c r="BK11" s="47"/>
      <c r="BL11" s="48"/>
      <c r="BM11" s="48"/>
      <c r="BR11" s="7"/>
      <c r="BS11" s="7"/>
      <c r="BT11" s="7"/>
      <c r="BU11" s="7"/>
      <c r="BV11" s="7"/>
      <c r="BW11" s="7"/>
      <c r="BX11" s="7"/>
      <c r="BY11" s="7"/>
      <c r="BZ11" s="7"/>
      <c r="CA11" s="7"/>
      <c r="CB11" s="7"/>
      <c r="CC11" s="7"/>
    </row>
    <row r="12" ht="30.0" customHeight="1">
      <c r="A12" s="2"/>
      <c r="C12" s="28"/>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15"/>
      <c r="AJ12" s="49"/>
      <c r="AK12" s="49"/>
      <c r="AL12" s="49"/>
      <c r="AM12" s="49"/>
      <c r="AN12" s="49"/>
      <c r="AO12" s="49"/>
      <c r="AP12" s="15"/>
      <c r="AQ12" s="49"/>
      <c r="AR12" s="49"/>
      <c r="AS12" s="49"/>
      <c r="AT12" s="49"/>
      <c r="AU12" s="49"/>
      <c r="AV12" s="49"/>
      <c r="AW12" s="5"/>
      <c r="AX12" s="5"/>
      <c r="AY12" s="5"/>
      <c r="AZ12" s="5"/>
      <c r="BA12" s="5"/>
      <c r="BB12" s="5"/>
      <c r="BC12" s="5"/>
      <c r="BD12" s="5"/>
      <c r="BE12" s="50"/>
      <c r="BF12" s="51"/>
      <c r="BG12" s="51"/>
      <c r="BH12" s="51"/>
      <c r="BI12" s="51"/>
      <c r="BJ12" s="51"/>
      <c r="BK12" s="52">
        <v>18.0</v>
      </c>
      <c r="BL12" s="52">
        <v>25.0</v>
      </c>
      <c r="BM12" s="52">
        <v>2.0</v>
      </c>
      <c r="BN12" s="52">
        <v>9.0</v>
      </c>
      <c r="BO12" s="52">
        <v>16.0</v>
      </c>
      <c r="BP12" s="52">
        <v>23.0</v>
      </c>
      <c r="BQ12" s="52">
        <v>30.0</v>
      </c>
      <c r="BR12" s="7"/>
      <c r="BS12" s="7"/>
      <c r="BT12" s="7"/>
      <c r="BU12" s="7"/>
      <c r="BV12" s="7"/>
      <c r="BW12" s="7"/>
      <c r="BX12" s="7"/>
      <c r="BY12" s="7"/>
      <c r="BZ12" s="7"/>
      <c r="CA12" s="7"/>
      <c r="CB12" s="7"/>
      <c r="CC12" s="7"/>
    </row>
    <row r="13" ht="51.75" customHeight="1">
      <c r="A13" s="2"/>
      <c r="B13" s="53" t="s">
        <v>48</v>
      </c>
      <c r="C13" s="54" t="s">
        <v>49</v>
      </c>
      <c r="D13" s="55">
        <v>1700000.0</v>
      </c>
      <c r="E13" s="55">
        <f t="shared" ref="E13:F13" si="1">sum(E21,E29)</f>
        <v>175705</v>
      </c>
      <c r="F13" s="55">
        <f t="shared" si="1"/>
        <v>653021</v>
      </c>
      <c r="G13" s="56">
        <f t="shared" ref="G13:H13" si="2">E13/D13</f>
        <v>0.1033558824</v>
      </c>
      <c r="H13" s="57">
        <f t="shared" si="2"/>
        <v>3.716576079</v>
      </c>
      <c r="I13" s="55">
        <v>1700000.0</v>
      </c>
      <c r="J13" s="55">
        <f t="shared" ref="J13:K13" si="3">J21+J29</f>
        <v>165211</v>
      </c>
      <c r="K13" s="55">
        <f t="shared" si="3"/>
        <v>527930</v>
      </c>
      <c r="L13" s="56">
        <f t="shared" ref="L13:M13" si="4">J13/I13</f>
        <v>0.09718294118</v>
      </c>
      <c r="M13" s="57">
        <f t="shared" si="4"/>
        <v>3.195489404</v>
      </c>
      <c r="N13" s="55">
        <f>I13</f>
        <v>1700000</v>
      </c>
      <c r="O13" s="55">
        <f t="shared" ref="O13:P13" si="5">O21+O29</f>
        <v>706663</v>
      </c>
      <c r="P13" s="55">
        <f t="shared" si="5"/>
        <v>204169</v>
      </c>
      <c r="Q13" s="56">
        <f t="shared" ref="Q13:Q14" si="12">P13/N13</f>
        <v>0.1200994118</v>
      </c>
      <c r="R13" s="57">
        <f>O13/P13</f>
        <v>3.461166974</v>
      </c>
      <c r="S13" s="55">
        <f t="shared" ref="S13:T13" si="6">S21+S29</f>
        <v>657258</v>
      </c>
      <c r="T13" s="55">
        <f t="shared" si="6"/>
        <v>380246</v>
      </c>
      <c r="U13" s="56">
        <f>T13/$N$13</f>
        <v>0.2236741176</v>
      </c>
      <c r="V13" s="57">
        <f t="shared" ref="V13:V14" si="14">S13/T13</f>
        <v>1.728507335</v>
      </c>
      <c r="W13" s="55">
        <f t="shared" ref="W13:W14" si="15">W21+W29</f>
        <v>346447</v>
      </c>
      <c r="X13" s="56">
        <f>W13/$N$13</f>
        <v>0.2037923529</v>
      </c>
      <c r="Y13" s="58">
        <v>1.816139265</v>
      </c>
      <c r="Z13" s="55">
        <f t="shared" ref="Z13:Z14" si="16">Z21+Z29</f>
        <v>416719</v>
      </c>
      <c r="AA13" s="56">
        <f>Z13/$N$13</f>
        <v>0.2451288235</v>
      </c>
      <c r="AB13" s="58">
        <f>AVERAGE(AB29,AB21)</f>
        <v>1.845</v>
      </c>
      <c r="AC13" s="55">
        <f>AC21+AC29</f>
        <v>399023</v>
      </c>
      <c r="AD13" s="56">
        <f>AC13/$N$13</f>
        <v>0.2347194118</v>
      </c>
      <c r="AE13" s="58">
        <f>AVERAGE(AE29,AE21)</f>
        <v>2.175</v>
      </c>
      <c r="AF13" s="55">
        <f>AF21+AF29</f>
        <v>329864</v>
      </c>
      <c r="AG13" s="56">
        <f>AF13/$N$13</f>
        <v>0.1940376471</v>
      </c>
      <c r="AH13" s="58">
        <f>AVERAGE(AH29,AH21)</f>
        <v>1.91</v>
      </c>
      <c r="AI13" s="15"/>
      <c r="AJ13" s="55">
        <f>AJ21+AJ29</f>
        <v>383537</v>
      </c>
      <c r="AK13" s="56">
        <f>AJ13/$N$13</f>
        <v>0.22561</v>
      </c>
      <c r="AL13" s="58">
        <v>1.848702993</v>
      </c>
      <c r="AM13" s="55">
        <f>AM21+AM29</f>
        <v>346199</v>
      </c>
      <c r="AN13" s="56">
        <f>AM13/$N$13</f>
        <v>0.2036464706</v>
      </c>
      <c r="AO13" s="59">
        <v>2.018948889</v>
      </c>
      <c r="AP13" s="15"/>
      <c r="AQ13" s="55">
        <f>AQ21+AQ29</f>
        <v>123330</v>
      </c>
      <c r="AR13" s="56">
        <f>AQ13/$N$13</f>
        <v>0.07254705882</v>
      </c>
      <c r="AS13" s="59">
        <v>1.921819509</v>
      </c>
      <c r="AT13" s="55">
        <f>AT21+AT29</f>
        <v>380426</v>
      </c>
      <c r="AU13" s="56">
        <f>AT13/$N$13</f>
        <v>0.22378</v>
      </c>
      <c r="AV13" s="59">
        <v>1.921819509</v>
      </c>
      <c r="AW13" s="5"/>
      <c r="AX13" s="5"/>
      <c r="AY13" s="5"/>
      <c r="AZ13" s="5"/>
      <c r="BA13" s="5"/>
      <c r="BB13" s="5"/>
      <c r="BC13" s="5"/>
      <c r="BD13" s="5"/>
      <c r="BE13" s="60"/>
      <c r="BF13" s="61"/>
      <c r="BG13" s="61"/>
      <c r="BH13" s="61"/>
      <c r="BI13" s="61"/>
      <c r="BJ13" s="61"/>
      <c r="BK13" s="62"/>
      <c r="BL13" s="62"/>
      <c r="BM13" s="62"/>
      <c r="BN13" s="62"/>
      <c r="BO13" s="62"/>
      <c r="BP13" s="62"/>
      <c r="BQ13" s="62"/>
      <c r="BR13" s="62"/>
      <c r="BS13" s="62"/>
      <c r="BT13" s="62"/>
      <c r="BU13" s="62"/>
      <c r="BV13" s="62"/>
      <c r="BW13" s="62"/>
      <c r="BX13" s="62"/>
      <c r="BY13" s="62"/>
      <c r="BZ13" s="62"/>
      <c r="CA13" s="62"/>
      <c r="CB13" s="62"/>
      <c r="CC13" s="62"/>
    </row>
    <row r="14" ht="51.75" customHeight="1">
      <c r="A14" s="2"/>
      <c r="B14" s="63"/>
      <c r="C14" s="54" t="s">
        <v>50</v>
      </c>
      <c r="D14" s="55">
        <v>18700.0</v>
      </c>
      <c r="E14" s="55">
        <f t="shared" ref="E14:F14" si="7">sum(E22,E30)</f>
        <v>15575</v>
      </c>
      <c r="F14" s="55">
        <f t="shared" si="7"/>
        <v>161664</v>
      </c>
      <c r="G14" s="56">
        <f t="shared" ref="G14:H14" si="8">E14/D14</f>
        <v>0.8328877005</v>
      </c>
      <c r="H14" s="57">
        <f t="shared" si="8"/>
        <v>10.37971108</v>
      </c>
      <c r="I14" s="55">
        <v>18700.0</v>
      </c>
      <c r="J14" s="55">
        <f t="shared" ref="J14:K14" si="9">J22+J30</f>
        <v>24540</v>
      </c>
      <c r="K14" s="55">
        <f t="shared" si="9"/>
        <v>214358</v>
      </c>
      <c r="L14" s="56">
        <f t="shared" ref="L14:M14" si="10">J14/I14</f>
        <v>1.312299465</v>
      </c>
      <c r="M14" s="57">
        <f t="shared" si="10"/>
        <v>8.735044825</v>
      </c>
      <c r="N14" s="64">
        <v>48500.0</v>
      </c>
      <c r="O14" s="55">
        <f t="shared" ref="O14:P14" si="11">O22+O30</f>
        <v>38911</v>
      </c>
      <c r="P14" s="55">
        <f t="shared" si="11"/>
        <v>14773</v>
      </c>
      <c r="Q14" s="56">
        <f t="shared" si="12"/>
        <v>0.3045979381</v>
      </c>
      <c r="R14" s="58">
        <v>3.21</v>
      </c>
      <c r="S14" s="55">
        <f t="shared" ref="S14:T14" si="13">S22+S30</f>
        <v>158133</v>
      </c>
      <c r="T14" s="55">
        <f t="shared" si="13"/>
        <v>35954</v>
      </c>
      <c r="U14" s="56">
        <f>T14/$N$14</f>
        <v>0.7413195876</v>
      </c>
      <c r="V14" s="57">
        <f t="shared" si="14"/>
        <v>4.39820326</v>
      </c>
      <c r="W14" s="55">
        <f t="shared" si="15"/>
        <v>35780</v>
      </c>
      <c r="X14" s="56">
        <f>W14/$N$14</f>
        <v>0.7377319588</v>
      </c>
      <c r="Y14" s="58">
        <v>3.727976523</v>
      </c>
      <c r="Z14" s="55">
        <f t="shared" si="16"/>
        <v>48785</v>
      </c>
      <c r="AA14" s="56">
        <f>Z14/$N$14</f>
        <v>1.005876289</v>
      </c>
      <c r="AB14" s="58">
        <f>AB22</f>
        <v>2.99</v>
      </c>
      <c r="AC14" s="64">
        <v>33461.0</v>
      </c>
      <c r="AD14" s="56">
        <f>AC14/$N$14</f>
        <v>0.6899175258</v>
      </c>
      <c r="AE14" s="58">
        <f>AE22</f>
        <v>3.21</v>
      </c>
      <c r="AF14" s="64">
        <v>33950.0</v>
      </c>
      <c r="AG14" s="56">
        <f>AF14/$N$14</f>
        <v>0.7</v>
      </c>
      <c r="AH14" s="58">
        <f>AH22</f>
        <v>3.84</v>
      </c>
      <c r="AI14" s="15"/>
      <c r="AJ14" s="64">
        <v>26740.0</v>
      </c>
      <c r="AK14" s="56">
        <f>AJ14/$N$14</f>
        <v>0.5513402062</v>
      </c>
      <c r="AL14" s="58">
        <v>4.33328347</v>
      </c>
      <c r="AM14" s="64">
        <f>AM22</f>
        <v>29295</v>
      </c>
      <c r="AN14" s="56">
        <f>AM14/$N$14</f>
        <v>0.6040206186</v>
      </c>
      <c r="AO14" s="59">
        <v>4.123204568</v>
      </c>
      <c r="AP14" s="15"/>
      <c r="AQ14" s="64">
        <f>AQ22</f>
        <v>27325</v>
      </c>
      <c r="AR14" s="56">
        <f>AQ14/$N$14</f>
        <v>0.5634020619</v>
      </c>
      <c r="AS14" s="59">
        <v>4.831619396</v>
      </c>
      <c r="AT14" s="64">
        <f>AT22</f>
        <v>25554</v>
      </c>
      <c r="AU14" s="56">
        <f>AT14/$N$14</f>
        <v>0.5268865979</v>
      </c>
      <c r="AV14" s="59">
        <v>4.831619396</v>
      </c>
      <c r="AW14" s="5"/>
      <c r="AX14" s="5"/>
      <c r="AY14" s="5"/>
      <c r="AZ14" s="5"/>
      <c r="BA14" s="5"/>
      <c r="BB14" s="5"/>
      <c r="BC14" s="5"/>
      <c r="BD14" s="5"/>
      <c r="BE14" s="60"/>
      <c r="BF14" s="61"/>
      <c r="BG14" s="61"/>
      <c r="BH14" s="61"/>
      <c r="BI14" s="61"/>
      <c r="BJ14" s="61"/>
      <c r="BK14" s="62"/>
      <c r="BL14" s="62"/>
      <c r="BM14" s="62"/>
      <c r="BN14" s="62"/>
      <c r="BO14" s="62"/>
      <c r="BP14" s="62"/>
      <c r="BQ14" s="62"/>
      <c r="BR14" s="62"/>
      <c r="BS14" s="62"/>
      <c r="BT14" s="62"/>
      <c r="BU14" s="62"/>
      <c r="BV14" s="62"/>
      <c r="BW14" s="62"/>
      <c r="BX14" s="62"/>
      <c r="BY14" s="62"/>
      <c r="BZ14" s="62"/>
      <c r="CA14" s="62"/>
      <c r="CB14" s="62"/>
      <c r="CC14" s="62"/>
    </row>
    <row r="15" ht="26.25" customHeight="1">
      <c r="A15" s="2"/>
      <c r="B15" s="65"/>
      <c r="C15" s="48"/>
      <c r="D15" s="48"/>
      <c r="E15" s="66"/>
      <c r="F15" s="67"/>
      <c r="G15" s="67"/>
      <c r="H15" s="67"/>
      <c r="I15" s="68"/>
      <c r="J15" s="68"/>
      <c r="K15" s="68"/>
      <c r="L15" s="68"/>
      <c r="M15" s="68"/>
      <c r="N15" s="68"/>
      <c r="O15" s="68"/>
      <c r="P15" s="68"/>
      <c r="Q15" s="68"/>
      <c r="R15" s="68"/>
      <c r="S15" s="68"/>
      <c r="T15" s="68"/>
      <c r="U15" s="68"/>
      <c r="V15" s="68"/>
      <c r="W15" s="68"/>
      <c r="X15" s="68"/>
      <c r="Y15" s="68"/>
      <c r="Z15" s="69"/>
      <c r="AA15" s="69"/>
      <c r="AB15" s="69"/>
      <c r="AC15" s="70"/>
      <c r="AD15" s="70"/>
      <c r="AE15" s="70"/>
      <c r="AF15" s="70"/>
      <c r="AG15" s="70"/>
      <c r="AH15" s="70"/>
      <c r="AI15" s="15"/>
      <c r="AJ15" s="70"/>
      <c r="AK15" s="70"/>
      <c r="AL15" s="70"/>
      <c r="AM15" s="71"/>
      <c r="AN15" s="71"/>
      <c r="AO15" s="71"/>
      <c r="AP15" s="15"/>
      <c r="AQ15" s="71"/>
      <c r="AR15" s="71"/>
      <c r="AS15" s="71"/>
      <c r="AT15" s="71"/>
      <c r="AU15" s="71"/>
      <c r="AV15" s="71"/>
      <c r="AW15" s="5"/>
      <c r="AX15" s="5"/>
      <c r="AY15" s="5"/>
      <c r="AZ15" s="5"/>
      <c r="BA15" s="5"/>
      <c r="BB15" s="5"/>
      <c r="BC15" s="5"/>
      <c r="BD15" s="5"/>
      <c r="BE15" s="2"/>
      <c r="BF15" s="6"/>
      <c r="BG15" s="6"/>
      <c r="BH15" s="6"/>
      <c r="BI15" s="6"/>
      <c r="BJ15" s="6"/>
      <c r="BK15" s="7"/>
      <c r="BL15" s="7"/>
      <c r="BM15" s="7"/>
      <c r="BN15" s="7"/>
      <c r="BO15" s="7"/>
      <c r="BP15" s="7"/>
      <c r="BQ15" s="7"/>
      <c r="BR15" s="7"/>
      <c r="BS15" s="7"/>
      <c r="BT15" s="7"/>
      <c r="BU15" s="7"/>
      <c r="BV15" s="7"/>
      <c r="BW15" s="7"/>
      <c r="BX15" s="7"/>
      <c r="BY15" s="7"/>
      <c r="BZ15" s="7"/>
      <c r="CA15" s="7"/>
      <c r="CB15" s="7"/>
      <c r="CC15" s="7"/>
    </row>
    <row r="16" ht="33.75" customHeight="1">
      <c r="A16" s="72"/>
      <c r="B16" s="73" t="s">
        <v>51</v>
      </c>
      <c r="C16" s="74"/>
      <c r="D16" s="75"/>
      <c r="E16" s="76">
        <v>191280.0</v>
      </c>
      <c r="F16" s="75"/>
      <c r="G16" s="75"/>
      <c r="H16" s="77">
        <v>4.26</v>
      </c>
      <c r="I16" s="75"/>
      <c r="J16" s="78">
        <v>189751.0</v>
      </c>
      <c r="K16" s="79"/>
      <c r="L16" s="79"/>
      <c r="M16" s="80">
        <v>3.91190560260552</v>
      </c>
      <c r="N16" s="81"/>
      <c r="O16" s="81"/>
      <c r="P16" s="81"/>
      <c r="Q16" s="81"/>
      <c r="R16" s="81"/>
      <c r="S16" s="81"/>
      <c r="T16" s="81"/>
      <c r="U16" s="81"/>
      <c r="V16" s="81"/>
      <c r="W16" s="81"/>
      <c r="X16" s="81"/>
      <c r="Y16" s="81"/>
      <c r="Z16" s="75"/>
      <c r="AA16" s="75"/>
      <c r="AB16" s="75"/>
      <c r="AC16" s="82"/>
      <c r="AD16" s="82"/>
      <c r="AE16" s="82"/>
      <c r="AF16" s="82"/>
      <c r="AG16" s="82"/>
      <c r="AH16" s="82"/>
      <c r="AI16" s="15"/>
      <c r="AJ16" s="82"/>
      <c r="AK16" s="82"/>
      <c r="AL16" s="82"/>
      <c r="AM16" s="37"/>
      <c r="AN16" s="37"/>
      <c r="AO16" s="37"/>
      <c r="AP16" s="15"/>
      <c r="AQ16" s="37"/>
      <c r="AR16" s="37"/>
      <c r="AS16" s="37"/>
      <c r="AT16" s="37"/>
      <c r="AU16" s="37"/>
      <c r="AV16" s="37"/>
      <c r="AW16" s="5"/>
      <c r="AX16" s="5"/>
      <c r="AY16" s="5"/>
      <c r="AZ16" s="5"/>
      <c r="BA16" s="5"/>
      <c r="BB16" s="5"/>
      <c r="BC16" s="5"/>
      <c r="BD16" s="5"/>
      <c r="BE16" s="72"/>
      <c r="BF16" s="83"/>
      <c r="BG16" s="83"/>
      <c r="BH16" s="83"/>
      <c r="BI16" s="83"/>
      <c r="BJ16" s="83"/>
      <c r="BK16" s="84"/>
      <c r="BL16" s="84"/>
      <c r="BM16" s="84"/>
      <c r="BN16" s="84"/>
      <c r="BO16" s="84"/>
      <c r="BP16" s="84"/>
      <c r="BQ16" s="84"/>
      <c r="BR16" s="84"/>
      <c r="BS16" s="84"/>
      <c r="BT16" s="84"/>
      <c r="BU16" s="84"/>
      <c r="BV16" s="84"/>
      <c r="BW16" s="84"/>
      <c r="BX16" s="84"/>
      <c r="BY16" s="84"/>
      <c r="BZ16" s="84"/>
      <c r="CA16" s="84"/>
      <c r="CB16" s="84"/>
      <c r="CC16" s="84"/>
    </row>
    <row r="17" ht="37.5" customHeight="1">
      <c r="A17" s="85"/>
      <c r="B17" s="86"/>
      <c r="C17" s="87"/>
      <c r="D17" s="87"/>
      <c r="E17" s="87"/>
      <c r="F17" s="87"/>
      <c r="G17" s="87"/>
      <c r="H17" s="87"/>
      <c r="I17" s="88"/>
      <c r="J17" s="89"/>
      <c r="K17" s="87"/>
      <c r="L17" s="87"/>
      <c r="M17" s="87"/>
      <c r="N17" s="14"/>
      <c r="O17" s="14"/>
      <c r="P17" s="14"/>
      <c r="Q17" s="14"/>
      <c r="R17" s="14"/>
      <c r="S17" s="10"/>
      <c r="T17" s="10"/>
      <c r="U17" s="10"/>
      <c r="V17" s="10"/>
      <c r="W17" s="10"/>
      <c r="X17" s="90"/>
      <c r="Y17" s="90"/>
      <c r="Z17" s="91"/>
      <c r="AA17" s="15"/>
      <c r="AB17" s="15"/>
      <c r="AC17" s="15"/>
      <c r="AD17" s="15"/>
      <c r="AE17" s="15"/>
      <c r="AF17" s="15"/>
      <c r="AG17" s="15"/>
      <c r="AH17" s="15"/>
      <c r="AI17" s="15"/>
      <c r="AJ17" s="15"/>
      <c r="AK17" s="15"/>
      <c r="AL17" s="15"/>
      <c r="AM17" s="4"/>
      <c r="AN17" s="4"/>
      <c r="AO17" s="4"/>
      <c r="AP17" s="15"/>
      <c r="AQ17" s="4"/>
      <c r="AR17" s="4"/>
      <c r="AS17" s="4"/>
      <c r="AT17" s="5"/>
      <c r="AU17" s="5"/>
      <c r="AV17" s="5"/>
      <c r="AW17" s="5"/>
      <c r="AX17" s="5"/>
      <c r="AY17" s="5"/>
      <c r="AZ17" s="5"/>
      <c r="BA17" s="5"/>
      <c r="BB17" s="5"/>
      <c r="BC17" s="5"/>
      <c r="BD17" s="5"/>
      <c r="BE17" s="92"/>
      <c r="BF17" s="93"/>
      <c r="BG17" s="93"/>
      <c r="BH17" s="93"/>
      <c r="BI17" s="93"/>
      <c r="BJ17" s="93"/>
      <c r="BK17" s="94"/>
      <c r="BL17" s="94"/>
      <c r="BM17" s="94"/>
      <c r="BN17" s="94"/>
      <c r="BO17" s="94"/>
      <c r="BP17" s="94"/>
      <c r="BQ17" s="94"/>
      <c r="BR17" s="94"/>
      <c r="BS17" s="94"/>
      <c r="BT17" s="94"/>
      <c r="BU17" s="94"/>
      <c r="BV17" s="94"/>
      <c r="BW17" s="94"/>
      <c r="BX17" s="94"/>
      <c r="BY17" s="94"/>
      <c r="BZ17" s="94"/>
      <c r="CA17" s="94"/>
      <c r="CB17" s="94"/>
      <c r="CC17" s="94"/>
    </row>
    <row r="18" ht="46.5" customHeight="1">
      <c r="A18" s="2"/>
      <c r="B18" s="33" t="s">
        <v>52</v>
      </c>
      <c r="C18" s="34"/>
      <c r="D18" s="34"/>
      <c r="E18" s="34"/>
      <c r="F18" s="34"/>
      <c r="G18" s="34"/>
      <c r="H18" s="34"/>
      <c r="I18" s="34"/>
      <c r="J18" s="34"/>
      <c r="K18" s="34"/>
      <c r="L18" s="34"/>
      <c r="M18" s="34"/>
      <c r="N18" s="34"/>
      <c r="O18" s="34"/>
      <c r="P18" s="34"/>
      <c r="Q18" s="34"/>
      <c r="R18" s="34"/>
      <c r="S18" s="34"/>
      <c r="T18" s="34"/>
      <c r="U18" s="34"/>
      <c r="V18" s="34"/>
      <c r="W18" s="34"/>
      <c r="X18" s="34"/>
      <c r="Y18" s="34"/>
      <c r="Z18" s="35"/>
      <c r="AA18" s="35"/>
      <c r="AB18" s="35"/>
      <c r="AC18" s="36"/>
      <c r="AD18" s="36"/>
      <c r="AE18" s="36"/>
      <c r="AF18" s="36"/>
      <c r="AG18" s="36"/>
      <c r="AH18" s="36"/>
      <c r="AI18" s="15"/>
      <c r="AJ18" s="36"/>
      <c r="AK18" s="36"/>
      <c r="AL18" s="36"/>
      <c r="AM18" s="37"/>
      <c r="AN18" s="37"/>
      <c r="AO18" s="37"/>
      <c r="AP18" s="15"/>
      <c r="AQ18" s="37"/>
      <c r="AR18" s="37"/>
      <c r="AS18" s="37"/>
      <c r="AT18" s="37"/>
      <c r="AU18" s="37"/>
      <c r="AV18" s="37"/>
      <c r="AW18" s="5"/>
      <c r="AX18" s="5"/>
      <c r="AY18" s="5"/>
      <c r="AZ18" s="5"/>
      <c r="BA18" s="5"/>
      <c r="BB18" s="5"/>
      <c r="BC18" s="5"/>
      <c r="BD18" s="5"/>
      <c r="BE18" s="31"/>
      <c r="BF18" s="32"/>
      <c r="BG18" s="32"/>
      <c r="BH18" s="32"/>
      <c r="BI18" s="32"/>
      <c r="BJ18" s="32"/>
      <c r="BK18" s="7"/>
      <c r="BL18" s="7"/>
      <c r="BM18" s="7"/>
      <c r="BN18" s="7"/>
      <c r="BO18" s="7"/>
      <c r="BP18" s="7"/>
      <c r="BQ18" s="7"/>
      <c r="BR18" s="7"/>
      <c r="BS18" s="7"/>
      <c r="BT18" s="7"/>
      <c r="BU18" s="7"/>
      <c r="BV18" s="7"/>
      <c r="BW18" s="7"/>
      <c r="BX18" s="7"/>
      <c r="BY18" s="7"/>
      <c r="BZ18" s="7"/>
      <c r="CA18" s="7"/>
      <c r="CB18" s="7"/>
      <c r="CC18" s="7"/>
    </row>
    <row r="19" ht="30.0" customHeight="1">
      <c r="A19" s="2"/>
      <c r="B19" s="38" t="s">
        <v>14</v>
      </c>
      <c r="C19" s="39" t="s">
        <v>15</v>
      </c>
      <c r="D19" s="40" t="s">
        <v>16</v>
      </c>
      <c r="E19" s="40" t="s">
        <v>17</v>
      </c>
      <c r="F19" s="40" t="s">
        <v>18</v>
      </c>
      <c r="G19" s="40" t="s">
        <v>19</v>
      </c>
      <c r="H19" s="40" t="s">
        <v>20</v>
      </c>
      <c r="I19" s="40" t="s">
        <v>21</v>
      </c>
      <c r="J19" s="40" t="s">
        <v>22</v>
      </c>
      <c r="K19" s="40" t="s">
        <v>23</v>
      </c>
      <c r="L19" s="40" t="s">
        <v>19</v>
      </c>
      <c r="M19" s="40" t="s">
        <v>24</v>
      </c>
      <c r="N19" s="40" t="s">
        <v>25</v>
      </c>
      <c r="O19" s="41" t="s">
        <v>26</v>
      </c>
      <c r="P19" s="41" t="s">
        <v>27</v>
      </c>
      <c r="Q19" s="40" t="s">
        <v>19</v>
      </c>
      <c r="R19" s="40" t="s">
        <v>28</v>
      </c>
      <c r="S19" s="41" t="s">
        <v>29</v>
      </c>
      <c r="T19" s="41" t="s">
        <v>30</v>
      </c>
      <c r="U19" s="40" t="s">
        <v>19</v>
      </c>
      <c r="V19" s="41" t="s">
        <v>31</v>
      </c>
      <c r="W19" s="41" t="s">
        <v>32</v>
      </c>
      <c r="X19" s="40" t="s">
        <v>19</v>
      </c>
      <c r="Y19" s="41" t="s">
        <v>33</v>
      </c>
      <c r="Z19" s="42" t="s">
        <v>34</v>
      </c>
      <c r="AA19" s="43" t="s">
        <v>19</v>
      </c>
      <c r="AB19" s="42" t="s">
        <v>35</v>
      </c>
      <c r="AC19" s="42" t="s">
        <v>36</v>
      </c>
      <c r="AD19" s="43" t="s">
        <v>19</v>
      </c>
      <c r="AE19" s="42" t="s">
        <v>37</v>
      </c>
      <c r="AF19" s="42" t="s">
        <v>38</v>
      </c>
      <c r="AG19" s="43" t="s">
        <v>19</v>
      </c>
      <c r="AH19" s="42" t="s">
        <v>39</v>
      </c>
      <c r="AI19" s="15"/>
      <c r="AJ19" s="42" t="s">
        <v>40</v>
      </c>
      <c r="AK19" s="43" t="s">
        <v>19</v>
      </c>
      <c r="AL19" s="42" t="s">
        <v>41</v>
      </c>
      <c r="AM19" s="44" t="s">
        <v>42</v>
      </c>
      <c r="AN19" s="45" t="s">
        <v>19</v>
      </c>
      <c r="AO19" s="44" t="s">
        <v>43</v>
      </c>
      <c r="AP19" s="15"/>
      <c r="AQ19" s="44" t="s">
        <v>44</v>
      </c>
      <c r="AR19" s="45" t="s">
        <v>19</v>
      </c>
      <c r="AS19" s="44" t="s">
        <v>45</v>
      </c>
      <c r="AT19" s="44" t="s">
        <v>46</v>
      </c>
      <c r="AU19" s="45" t="s">
        <v>19</v>
      </c>
      <c r="AV19" s="44" t="s">
        <v>47</v>
      </c>
      <c r="AW19" s="5"/>
      <c r="AX19" s="5"/>
      <c r="AY19" s="5"/>
      <c r="AZ19" s="5"/>
      <c r="BA19" s="5"/>
      <c r="BB19" s="5"/>
      <c r="BC19" s="5"/>
      <c r="BD19" s="5"/>
      <c r="BE19" s="9"/>
      <c r="BF19" s="46"/>
      <c r="BG19" s="46"/>
      <c r="BH19" s="46"/>
      <c r="BI19" s="46"/>
      <c r="BJ19" s="46"/>
      <c r="BK19" s="47"/>
      <c r="BL19" s="48"/>
      <c r="BM19" s="48"/>
      <c r="BR19" s="7"/>
      <c r="BS19" s="7"/>
      <c r="BT19" s="7"/>
      <c r="BU19" s="7"/>
      <c r="BV19" s="7"/>
      <c r="BW19" s="7"/>
      <c r="BX19" s="7"/>
      <c r="BY19" s="7"/>
      <c r="BZ19" s="7"/>
      <c r="CA19" s="7"/>
      <c r="CB19" s="7"/>
      <c r="CC19" s="7"/>
    </row>
    <row r="20" ht="30.0" customHeight="1">
      <c r="A20" s="2"/>
      <c r="C20" s="28"/>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15"/>
      <c r="AJ20" s="49"/>
      <c r="AK20" s="49"/>
      <c r="AL20" s="49"/>
      <c r="AM20" s="49"/>
      <c r="AN20" s="49"/>
      <c r="AO20" s="49"/>
      <c r="AP20" s="15"/>
      <c r="AQ20" s="49"/>
      <c r="AR20" s="49"/>
      <c r="AS20" s="49"/>
      <c r="AT20" s="49"/>
      <c r="AU20" s="49"/>
      <c r="AV20" s="49"/>
      <c r="AW20" s="5"/>
      <c r="AX20" s="5"/>
      <c r="AY20" s="5"/>
      <c r="AZ20" s="5"/>
      <c r="BA20" s="5"/>
      <c r="BB20" s="5"/>
      <c r="BC20" s="5"/>
      <c r="BD20" s="5"/>
      <c r="BE20" s="50"/>
      <c r="BF20" s="51"/>
      <c r="BG20" s="51"/>
      <c r="BH20" s="51"/>
      <c r="BI20" s="51"/>
      <c r="BJ20" s="51"/>
      <c r="BK20" s="52">
        <v>18.0</v>
      </c>
      <c r="BL20" s="52">
        <v>25.0</v>
      </c>
      <c r="BM20" s="52">
        <v>2.0</v>
      </c>
      <c r="BN20" s="52">
        <v>9.0</v>
      </c>
      <c r="BO20" s="52">
        <v>16.0</v>
      </c>
      <c r="BP20" s="52">
        <v>23.0</v>
      </c>
      <c r="BQ20" s="52">
        <v>30.0</v>
      </c>
      <c r="BR20" s="7"/>
      <c r="BS20" s="7"/>
      <c r="BT20" s="7"/>
      <c r="BU20" s="7"/>
      <c r="BV20" s="7"/>
      <c r="BW20" s="7"/>
      <c r="BX20" s="7"/>
      <c r="BY20" s="7"/>
      <c r="BZ20" s="7"/>
      <c r="CA20" s="7"/>
      <c r="CB20" s="7"/>
      <c r="CC20" s="7"/>
    </row>
    <row r="21" ht="51.75" customHeight="1">
      <c r="A21" s="2"/>
      <c r="B21" s="53" t="s">
        <v>48</v>
      </c>
      <c r="C21" s="54" t="s">
        <v>49</v>
      </c>
      <c r="D21" s="95" t="s">
        <v>53</v>
      </c>
      <c r="E21" s="55">
        <v>164439.0</v>
      </c>
      <c r="F21" s="55">
        <v>618349.0</v>
      </c>
      <c r="G21" s="95" t="s">
        <v>54</v>
      </c>
      <c r="H21" s="57">
        <f t="shared" ref="H21:H22" si="17">F21/E21</f>
        <v>3.760354904</v>
      </c>
      <c r="I21" s="55" t="s">
        <v>53</v>
      </c>
      <c r="J21" s="55">
        <v>151958.0</v>
      </c>
      <c r="K21" s="55">
        <v>489021.0</v>
      </c>
      <c r="L21" s="95" t="s">
        <v>54</v>
      </c>
      <c r="M21" s="57">
        <f t="shared" ref="M21:M22" si="18">K21/J21</f>
        <v>3.218132642</v>
      </c>
      <c r="N21" s="55" t="str">
        <f t="shared" ref="N21:N22" si="19">I21</f>
        <v>-</v>
      </c>
      <c r="O21" s="64">
        <v>217635.0</v>
      </c>
      <c r="P21" s="64">
        <v>24969.0</v>
      </c>
      <c r="Q21" s="55"/>
      <c r="R21" s="57">
        <f>O21/P21</f>
        <v>8.716208098</v>
      </c>
      <c r="S21" s="64">
        <v>618349.0</v>
      </c>
      <c r="T21" s="64">
        <v>359179.0</v>
      </c>
      <c r="U21" s="55"/>
      <c r="V21" s="58">
        <v>1.836791683</v>
      </c>
      <c r="W21" s="64">
        <v>323853.0</v>
      </c>
      <c r="X21" s="55"/>
      <c r="Y21" s="58">
        <v>1.816475376</v>
      </c>
      <c r="Z21" s="64">
        <v>394942.0</v>
      </c>
      <c r="AA21" s="56"/>
      <c r="AB21" s="58">
        <v>1.75</v>
      </c>
      <c r="AC21" s="64">
        <v>383021.0</v>
      </c>
      <c r="AD21" s="56"/>
      <c r="AE21" s="58">
        <v>1.92</v>
      </c>
      <c r="AF21" s="64">
        <v>290953.0</v>
      </c>
      <c r="AG21" s="56"/>
      <c r="AH21" s="58">
        <v>1.74</v>
      </c>
      <c r="AI21" s="15"/>
      <c r="AJ21" s="64">
        <v>367350.0</v>
      </c>
      <c r="AK21" s="56"/>
      <c r="AL21" s="58">
        <v>1.816325031</v>
      </c>
      <c r="AM21" s="96">
        <v>333766.0</v>
      </c>
      <c r="AN21" s="97"/>
      <c r="AO21" s="59">
        <v>1.98456104</v>
      </c>
      <c r="AP21" s="15"/>
      <c r="AQ21" s="96">
        <v>108527.0</v>
      </c>
      <c r="AR21" s="97"/>
      <c r="AS21" s="59">
        <v>1.825435145</v>
      </c>
      <c r="AT21" s="96">
        <v>360932.0</v>
      </c>
      <c r="AU21" s="97"/>
      <c r="AV21" s="59">
        <v>1.77</v>
      </c>
      <c r="AW21" s="5"/>
      <c r="AX21" s="5"/>
      <c r="AY21" s="5"/>
      <c r="AZ21" s="5"/>
      <c r="BA21" s="5"/>
      <c r="BB21" s="5"/>
      <c r="BC21" s="5"/>
      <c r="BD21" s="5"/>
      <c r="BE21" s="60"/>
      <c r="BF21" s="61"/>
      <c r="BG21" s="61"/>
      <c r="BH21" s="61"/>
      <c r="BI21" s="61"/>
      <c r="BJ21" s="61"/>
      <c r="BK21" s="62"/>
      <c r="BL21" s="62"/>
      <c r="BM21" s="62"/>
      <c r="BN21" s="62"/>
      <c r="BO21" s="62"/>
      <c r="BP21" s="62"/>
      <c r="BQ21" s="62"/>
      <c r="BR21" s="62"/>
      <c r="BS21" s="62"/>
      <c r="BT21" s="62"/>
      <c r="BU21" s="62"/>
      <c r="BV21" s="62"/>
      <c r="BW21" s="62"/>
      <c r="BX21" s="62"/>
      <c r="BY21" s="62"/>
      <c r="BZ21" s="62"/>
      <c r="CA21" s="62"/>
      <c r="CB21" s="62"/>
      <c r="CC21" s="62"/>
    </row>
    <row r="22" ht="51.75" customHeight="1">
      <c r="A22" s="2"/>
      <c r="B22" s="63"/>
      <c r="C22" s="54" t="s">
        <v>50</v>
      </c>
      <c r="D22" s="95" t="s">
        <v>53</v>
      </c>
      <c r="E22" s="55">
        <v>15163.0</v>
      </c>
      <c r="F22" s="55">
        <v>158133.0</v>
      </c>
      <c r="G22" s="95" t="s">
        <v>54</v>
      </c>
      <c r="H22" s="57">
        <f t="shared" si="17"/>
        <v>10.42887291</v>
      </c>
      <c r="I22" s="55" t="s">
        <v>53</v>
      </c>
      <c r="J22" s="55">
        <v>18211.0</v>
      </c>
      <c r="K22" s="55">
        <v>185195.0</v>
      </c>
      <c r="L22" s="95" t="s">
        <v>54</v>
      </c>
      <c r="M22" s="57">
        <f t="shared" si="18"/>
        <v>10.16940311</v>
      </c>
      <c r="N22" s="55" t="str">
        <f t="shared" si="19"/>
        <v>-</v>
      </c>
      <c r="O22" s="64">
        <v>38911.0</v>
      </c>
      <c r="P22" s="64">
        <v>14773.0</v>
      </c>
      <c r="Q22" s="55"/>
      <c r="R22" s="58">
        <v>3.21</v>
      </c>
      <c r="S22" s="64">
        <v>158133.0</v>
      </c>
      <c r="T22" s="64">
        <v>35954.0</v>
      </c>
      <c r="U22" s="55"/>
      <c r="V22" s="58">
        <v>3.445040886</v>
      </c>
      <c r="W22" s="64">
        <v>29294.0</v>
      </c>
      <c r="X22" s="55"/>
      <c r="Y22" s="58">
        <v>3.639380078</v>
      </c>
      <c r="Z22" s="64">
        <v>48785.0</v>
      </c>
      <c r="AA22" s="56"/>
      <c r="AB22" s="58">
        <v>2.99</v>
      </c>
      <c r="AC22" s="64">
        <v>33461.0</v>
      </c>
      <c r="AD22" s="56"/>
      <c r="AE22" s="58">
        <v>3.21</v>
      </c>
      <c r="AF22" s="64">
        <v>130583.0</v>
      </c>
      <c r="AG22" s="56"/>
      <c r="AH22" s="58">
        <v>3.84</v>
      </c>
      <c r="AI22" s="15"/>
      <c r="AJ22" s="64">
        <v>26740.0</v>
      </c>
      <c r="AK22" s="56"/>
      <c r="AL22" s="58">
        <v>4.33328347</v>
      </c>
      <c r="AM22" s="96">
        <v>29295.0</v>
      </c>
      <c r="AN22" s="97"/>
      <c r="AO22" s="59">
        <v>4.365147636</v>
      </c>
      <c r="AP22" s="15"/>
      <c r="AQ22" s="96">
        <v>27325.0</v>
      </c>
      <c r="AR22" s="97"/>
      <c r="AS22" s="59">
        <v>4.365147636</v>
      </c>
      <c r="AT22" s="96">
        <v>25554.0</v>
      </c>
      <c r="AU22" s="97"/>
      <c r="AV22" s="59">
        <v>4.069457207</v>
      </c>
      <c r="AW22" s="5"/>
      <c r="AX22" s="5"/>
      <c r="AY22" s="5"/>
      <c r="AZ22" s="5"/>
      <c r="BA22" s="5"/>
      <c r="BB22" s="5"/>
      <c r="BC22" s="5"/>
      <c r="BD22" s="5"/>
      <c r="BE22" s="60"/>
      <c r="BF22" s="61"/>
      <c r="BG22" s="61"/>
      <c r="BH22" s="61"/>
      <c r="BI22" s="61"/>
      <c r="BJ22" s="61"/>
      <c r="BK22" s="62"/>
      <c r="BL22" s="62"/>
      <c r="BM22" s="62"/>
      <c r="BN22" s="62"/>
      <c r="BO22" s="62"/>
      <c r="BP22" s="62"/>
      <c r="BQ22" s="62"/>
      <c r="BR22" s="62"/>
      <c r="BS22" s="62"/>
      <c r="BT22" s="62"/>
      <c r="BU22" s="62"/>
      <c r="BV22" s="62"/>
      <c r="BW22" s="62"/>
      <c r="BX22" s="62"/>
      <c r="BY22" s="62"/>
      <c r="BZ22" s="62"/>
      <c r="CA22" s="62"/>
      <c r="CB22" s="62"/>
      <c r="CC22" s="62"/>
    </row>
    <row r="23" ht="26.25" customHeight="1">
      <c r="A23" s="2"/>
      <c r="B23" s="65"/>
      <c r="C23" s="48"/>
      <c r="D23" s="48"/>
      <c r="E23" s="66"/>
      <c r="F23" s="67"/>
      <c r="G23" s="67"/>
      <c r="H23" s="67"/>
      <c r="I23" s="68"/>
      <c r="J23" s="68"/>
      <c r="K23" s="68"/>
      <c r="L23" s="68"/>
      <c r="M23" s="68"/>
      <c r="N23" s="68"/>
      <c r="O23" s="68"/>
      <c r="P23" s="68"/>
      <c r="Q23" s="68"/>
      <c r="R23" s="68"/>
      <c r="S23" s="68"/>
      <c r="T23" s="68"/>
      <c r="U23" s="68"/>
      <c r="V23" s="68"/>
      <c r="W23" s="68"/>
      <c r="X23" s="68"/>
      <c r="Y23" s="68"/>
      <c r="Z23" s="69"/>
      <c r="AA23" s="69"/>
      <c r="AB23" s="69"/>
      <c r="AC23" s="70"/>
      <c r="AD23" s="70"/>
      <c r="AE23" s="70"/>
      <c r="AF23" s="70"/>
      <c r="AG23" s="70"/>
      <c r="AH23" s="70"/>
      <c r="AI23" s="15"/>
      <c r="AJ23" s="70"/>
      <c r="AK23" s="70"/>
      <c r="AL23" s="70"/>
      <c r="AM23" s="71"/>
      <c r="AN23" s="71"/>
      <c r="AO23" s="71"/>
      <c r="AP23" s="15"/>
      <c r="AQ23" s="71"/>
      <c r="AR23" s="71"/>
      <c r="AS23" s="71"/>
      <c r="AT23" s="71"/>
      <c r="AU23" s="71"/>
      <c r="AV23" s="71"/>
      <c r="AW23" s="5"/>
      <c r="AX23" s="5"/>
      <c r="AY23" s="5"/>
      <c r="AZ23" s="5"/>
      <c r="BA23" s="5"/>
      <c r="BB23" s="5"/>
      <c r="BC23" s="5"/>
      <c r="BD23" s="5"/>
      <c r="BE23" s="2"/>
      <c r="BF23" s="6"/>
      <c r="BG23" s="6"/>
      <c r="BH23" s="6"/>
      <c r="BI23" s="6"/>
      <c r="BJ23" s="6"/>
      <c r="BK23" s="7"/>
      <c r="BL23" s="7"/>
      <c r="BM23" s="7"/>
      <c r="BN23" s="7"/>
      <c r="BO23" s="7"/>
      <c r="BP23" s="7"/>
      <c r="BQ23" s="7"/>
      <c r="BR23" s="7"/>
      <c r="BS23" s="7"/>
      <c r="BT23" s="7"/>
      <c r="BU23" s="7"/>
      <c r="BV23" s="7"/>
      <c r="BW23" s="7"/>
      <c r="BX23" s="7"/>
      <c r="BY23" s="7"/>
      <c r="BZ23" s="7"/>
      <c r="CA23" s="7"/>
      <c r="CB23" s="7"/>
      <c r="CC23" s="7"/>
    </row>
    <row r="24" ht="33.75" customHeight="1">
      <c r="A24" s="72"/>
      <c r="B24" s="73" t="s">
        <v>51</v>
      </c>
      <c r="C24" s="74"/>
      <c r="D24" s="75"/>
      <c r="E24" s="75"/>
      <c r="F24" s="75"/>
      <c r="G24" s="75"/>
      <c r="H24" s="75"/>
      <c r="I24" s="75"/>
      <c r="J24" s="75"/>
      <c r="K24" s="75"/>
      <c r="L24" s="75"/>
      <c r="M24" s="81"/>
      <c r="N24" s="81"/>
      <c r="O24" s="81"/>
      <c r="P24" s="81"/>
      <c r="Q24" s="81"/>
      <c r="R24" s="81"/>
      <c r="S24" s="81"/>
      <c r="T24" s="81"/>
      <c r="U24" s="81"/>
      <c r="V24" s="81"/>
      <c r="W24" s="81"/>
      <c r="X24" s="81"/>
      <c r="Y24" s="81"/>
      <c r="Z24" s="75"/>
      <c r="AA24" s="75"/>
      <c r="AB24" s="75"/>
      <c r="AC24" s="82"/>
      <c r="AD24" s="82"/>
      <c r="AE24" s="82"/>
      <c r="AF24" s="82"/>
      <c r="AG24" s="82"/>
      <c r="AH24" s="82"/>
      <c r="AI24" s="15"/>
      <c r="AJ24" s="82"/>
      <c r="AK24" s="82"/>
      <c r="AL24" s="82"/>
      <c r="AM24" s="37"/>
      <c r="AN24" s="37"/>
      <c r="AO24" s="37"/>
      <c r="AP24" s="15"/>
      <c r="AQ24" s="37"/>
      <c r="AR24" s="37"/>
      <c r="AS24" s="37"/>
      <c r="AT24" s="37"/>
      <c r="AU24" s="37"/>
      <c r="AV24" s="37"/>
      <c r="AW24" s="5"/>
      <c r="AX24" s="5"/>
      <c r="AY24" s="5"/>
      <c r="AZ24" s="5"/>
      <c r="BA24" s="5"/>
      <c r="BB24" s="5"/>
      <c r="BC24" s="5"/>
      <c r="BD24" s="5"/>
      <c r="BE24" s="72"/>
      <c r="BF24" s="83"/>
      <c r="BG24" s="83"/>
      <c r="BH24" s="83"/>
      <c r="BI24" s="83"/>
      <c r="BJ24" s="83"/>
      <c r="BK24" s="84"/>
      <c r="BL24" s="84"/>
      <c r="BM24" s="84"/>
      <c r="BN24" s="84"/>
      <c r="BO24" s="84"/>
      <c r="BP24" s="84"/>
      <c r="BQ24" s="84"/>
      <c r="BR24" s="84"/>
      <c r="BS24" s="84"/>
      <c r="BT24" s="84"/>
      <c r="BU24" s="84"/>
      <c r="BV24" s="84"/>
      <c r="BW24" s="84"/>
      <c r="BX24" s="84"/>
      <c r="BY24" s="84"/>
      <c r="BZ24" s="84"/>
      <c r="CA24" s="84"/>
      <c r="CB24" s="84"/>
      <c r="CC24" s="84"/>
    </row>
    <row r="25" ht="15.75" customHeight="1">
      <c r="A25" s="98"/>
      <c r="B25" s="98"/>
      <c r="C25" s="98"/>
      <c r="D25" s="98"/>
      <c r="E25" s="98"/>
      <c r="F25" s="98"/>
      <c r="G25" s="98"/>
      <c r="H25" s="98"/>
      <c r="I25" s="99"/>
      <c r="J25" s="99"/>
      <c r="K25" s="99"/>
      <c r="L25" s="99"/>
      <c r="M25" s="99"/>
      <c r="N25" s="14"/>
      <c r="O25" s="14"/>
      <c r="P25" s="14"/>
      <c r="Q25" s="14"/>
      <c r="R25" s="14"/>
      <c r="S25" s="10"/>
      <c r="T25" s="10"/>
      <c r="U25" s="10"/>
      <c r="V25" s="10"/>
      <c r="W25" s="10"/>
      <c r="X25" s="14"/>
      <c r="Y25" s="15"/>
      <c r="Z25" s="15"/>
      <c r="AA25" s="15"/>
      <c r="AB25" s="15"/>
      <c r="AC25" s="15"/>
      <c r="AD25" s="15"/>
      <c r="AE25" s="15"/>
      <c r="AF25" s="15"/>
      <c r="AG25" s="15"/>
      <c r="AH25" s="15"/>
      <c r="AI25" s="15"/>
      <c r="AJ25" s="15"/>
      <c r="AK25" s="15"/>
      <c r="AL25" s="15"/>
      <c r="AM25" s="4"/>
      <c r="AN25" s="4"/>
      <c r="AO25" s="4"/>
      <c r="AP25" s="15"/>
      <c r="AQ25" s="4"/>
      <c r="AR25" s="4"/>
      <c r="AS25" s="4"/>
      <c r="AT25" s="5"/>
      <c r="AU25" s="5"/>
      <c r="AV25" s="5"/>
      <c r="AW25" s="5"/>
      <c r="AX25" s="5"/>
      <c r="AY25" s="5"/>
      <c r="AZ25" s="5"/>
      <c r="BA25" s="5"/>
      <c r="BB25" s="5"/>
      <c r="BC25" s="5"/>
      <c r="BD25" s="5"/>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row>
    <row r="26" ht="46.5" customHeight="1">
      <c r="A26" s="2"/>
      <c r="B26" s="33" t="s">
        <v>55</v>
      </c>
      <c r="C26" s="34"/>
      <c r="D26" s="34"/>
      <c r="E26" s="34"/>
      <c r="F26" s="34"/>
      <c r="G26" s="34"/>
      <c r="H26" s="34"/>
      <c r="I26" s="34"/>
      <c r="J26" s="34"/>
      <c r="K26" s="34"/>
      <c r="L26" s="34"/>
      <c r="M26" s="34"/>
      <c r="N26" s="34"/>
      <c r="O26" s="34"/>
      <c r="P26" s="34"/>
      <c r="Q26" s="34"/>
      <c r="R26" s="34"/>
      <c r="S26" s="34"/>
      <c r="T26" s="34"/>
      <c r="U26" s="34"/>
      <c r="V26" s="34"/>
      <c r="W26" s="34"/>
      <c r="X26" s="34"/>
      <c r="Y26" s="34"/>
      <c r="Z26" s="35"/>
      <c r="AA26" s="35"/>
      <c r="AB26" s="35"/>
      <c r="AC26" s="36"/>
      <c r="AD26" s="36"/>
      <c r="AE26" s="36"/>
      <c r="AF26" s="36"/>
      <c r="AG26" s="36"/>
      <c r="AH26" s="36"/>
      <c r="AI26" s="15"/>
      <c r="AJ26" s="36"/>
      <c r="AK26" s="36"/>
      <c r="AL26" s="36"/>
      <c r="AM26" s="37"/>
      <c r="AN26" s="37"/>
      <c r="AO26" s="37"/>
      <c r="AP26" s="15"/>
      <c r="AQ26" s="37"/>
      <c r="AR26" s="37"/>
      <c r="AS26" s="37"/>
      <c r="AT26" s="37"/>
      <c r="AU26" s="37"/>
      <c r="AV26" s="37"/>
      <c r="AW26" s="5"/>
      <c r="AX26" s="5"/>
      <c r="AY26" s="5"/>
      <c r="AZ26" s="5"/>
      <c r="BA26" s="5"/>
      <c r="BB26" s="5"/>
      <c r="BC26" s="5"/>
      <c r="BD26" s="5"/>
      <c r="BE26" s="31"/>
      <c r="BF26" s="32"/>
      <c r="BG26" s="32"/>
      <c r="BH26" s="32"/>
      <c r="BI26" s="32"/>
      <c r="BJ26" s="32"/>
      <c r="BK26" s="7"/>
      <c r="BL26" s="7"/>
      <c r="BM26" s="7"/>
      <c r="BN26" s="7"/>
      <c r="BO26" s="7"/>
      <c r="BP26" s="7"/>
      <c r="BQ26" s="7"/>
      <c r="BR26" s="7"/>
      <c r="BS26" s="7"/>
      <c r="BT26" s="7"/>
      <c r="BU26" s="7"/>
      <c r="BV26" s="7"/>
      <c r="BW26" s="7"/>
      <c r="BX26" s="7"/>
      <c r="BY26" s="7"/>
      <c r="BZ26" s="7"/>
      <c r="CA26" s="7"/>
      <c r="CB26" s="7"/>
      <c r="CC26" s="7"/>
    </row>
    <row r="27" ht="30.0" customHeight="1">
      <c r="A27" s="2"/>
      <c r="B27" s="38" t="s">
        <v>14</v>
      </c>
      <c r="C27" s="39" t="s">
        <v>15</v>
      </c>
      <c r="D27" s="40" t="s">
        <v>16</v>
      </c>
      <c r="E27" s="40" t="s">
        <v>17</v>
      </c>
      <c r="F27" s="40" t="s">
        <v>18</v>
      </c>
      <c r="G27" s="40" t="s">
        <v>19</v>
      </c>
      <c r="H27" s="40" t="s">
        <v>20</v>
      </c>
      <c r="I27" s="40" t="s">
        <v>21</v>
      </c>
      <c r="J27" s="40" t="s">
        <v>22</v>
      </c>
      <c r="K27" s="40" t="s">
        <v>23</v>
      </c>
      <c r="L27" s="40" t="s">
        <v>19</v>
      </c>
      <c r="M27" s="40" t="s">
        <v>24</v>
      </c>
      <c r="N27" s="40" t="s">
        <v>25</v>
      </c>
      <c r="O27" s="41" t="s">
        <v>26</v>
      </c>
      <c r="P27" s="40" t="s">
        <v>56</v>
      </c>
      <c r="Q27" s="40" t="s">
        <v>19</v>
      </c>
      <c r="R27" s="40" t="s">
        <v>28</v>
      </c>
      <c r="S27" s="41" t="s">
        <v>29</v>
      </c>
      <c r="T27" s="41" t="s">
        <v>30</v>
      </c>
      <c r="U27" s="40" t="s">
        <v>19</v>
      </c>
      <c r="V27" s="41" t="s">
        <v>31</v>
      </c>
      <c r="W27" s="41" t="s">
        <v>32</v>
      </c>
      <c r="X27" s="40" t="s">
        <v>19</v>
      </c>
      <c r="Y27" s="41" t="s">
        <v>33</v>
      </c>
      <c r="Z27" s="42" t="s">
        <v>34</v>
      </c>
      <c r="AA27" s="43" t="s">
        <v>19</v>
      </c>
      <c r="AB27" s="42" t="s">
        <v>35</v>
      </c>
      <c r="AC27" s="42" t="s">
        <v>36</v>
      </c>
      <c r="AD27" s="43" t="s">
        <v>19</v>
      </c>
      <c r="AE27" s="42" t="s">
        <v>37</v>
      </c>
      <c r="AF27" s="42" t="s">
        <v>38</v>
      </c>
      <c r="AG27" s="43" t="s">
        <v>19</v>
      </c>
      <c r="AH27" s="42" t="s">
        <v>39</v>
      </c>
      <c r="AI27" s="15"/>
      <c r="AJ27" s="42" t="s">
        <v>40</v>
      </c>
      <c r="AK27" s="43" t="s">
        <v>19</v>
      </c>
      <c r="AL27" s="42" t="s">
        <v>41</v>
      </c>
      <c r="AM27" s="44" t="s">
        <v>42</v>
      </c>
      <c r="AN27" s="45" t="s">
        <v>19</v>
      </c>
      <c r="AO27" s="44" t="s">
        <v>43</v>
      </c>
      <c r="AP27" s="15"/>
      <c r="AQ27" s="44" t="s">
        <v>44</v>
      </c>
      <c r="AR27" s="45" t="s">
        <v>19</v>
      </c>
      <c r="AS27" s="44" t="s">
        <v>45</v>
      </c>
      <c r="AT27" s="44" t="s">
        <v>46</v>
      </c>
      <c r="AU27" s="45" t="s">
        <v>19</v>
      </c>
      <c r="AV27" s="44" t="s">
        <v>47</v>
      </c>
      <c r="AW27" s="5"/>
      <c r="AX27" s="5"/>
      <c r="AY27" s="5"/>
      <c r="AZ27" s="5"/>
      <c r="BA27" s="5"/>
      <c r="BB27" s="5"/>
      <c r="BC27" s="5"/>
      <c r="BD27" s="5"/>
      <c r="BE27" s="9"/>
      <c r="BF27" s="46"/>
      <c r="BG27" s="46"/>
      <c r="BH27" s="46"/>
      <c r="BI27" s="46"/>
      <c r="BJ27" s="46"/>
      <c r="BK27" s="47"/>
      <c r="BL27" s="48"/>
      <c r="BM27" s="48"/>
      <c r="BR27" s="7"/>
      <c r="BS27" s="7"/>
      <c r="BT27" s="7"/>
      <c r="BU27" s="7"/>
      <c r="BV27" s="7"/>
      <c r="BW27" s="7"/>
      <c r="BX27" s="7"/>
      <c r="BY27" s="7"/>
      <c r="BZ27" s="7"/>
      <c r="CA27" s="7"/>
      <c r="CB27" s="7"/>
      <c r="CC27" s="7"/>
    </row>
    <row r="28" ht="30.0" customHeight="1">
      <c r="A28" s="2"/>
      <c r="C28" s="28"/>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15"/>
      <c r="AJ28" s="49"/>
      <c r="AK28" s="49"/>
      <c r="AL28" s="49"/>
      <c r="AM28" s="49"/>
      <c r="AN28" s="49"/>
      <c r="AO28" s="49"/>
      <c r="AP28" s="15"/>
      <c r="AQ28" s="49"/>
      <c r="AR28" s="49"/>
      <c r="AS28" s="49"/>
      <c r="AT28" s="49"/>
      <c r="AU28" s="49"/>
      <c r="AV28" s="49"/>
      <c r="AW28" s="5"/>
      <c r="AX28" s="5"/>
      <c r="AY28" s="5"/>
      <c r="AZ28" s="5"/>
      <c r="BA28" s="5"/>
      <c r="BB28" s="5"/>
      <c r="BC28" s="5"/>
      <c r="BD28" s="5"/>
      <c r="BE28" s="50"/>
      <c r="BF28" s="51"/>
      <c r="BG28" s="51"/>
      <c r="BH28" s="51"/>
      <c r="BI28" s="51"/>
      <c r="BJ28" s="51"/>
      <c r="BK28" s="52">
        <v>18.0</v>
      </c>
      <c r="BL28" s="52">
        <v>25.0</v>
      </c>
      <c r="BM28" s="52">
        <v>2.0</v>
      </c>
      <c r="BN28" s="52">
        <v>9.0</v>
      </c>
      <c r="BO28" s="52">
        <v>16.0</v>
      </c>
      <c r="BP28" s="52">
        <v>23.0</v>
      </c>
      <c r="BQ28" s="52">
        <v>30.0</v>
      </c>
      <c r="BR28" s="7"/>
      <c r="BS28" s="7"/>
      <c r="BT28" s="7"/>
      <c r="BU28" s="7"/>
      <c r="BV28" s="7"/>
      <c r="BW28" s="7"/>
      <c r="BX28" s="7"/>
      <c r="BY28" s="7"/>
      <c r="BZ28" s="7"/>
      <c r="CA28" s="7"/>
      <c r="CB28" s="7"/>
      <c r="CC28" s="7"/>
    </row>
    <row r="29" ht="51.75" customHeight="1">
      <c r="A29" s="2"/>
      <c r="B29" s="53" t="s">
        <v>48</v>
      </c>
      <c r="C29" s="54" t="s">
        <v>49</v>
      </c>
      <c r="D29" s="55" t="s">
        <v>53</v>
      </c>
      <c r="E29" s="55">
        <v>11266.0</v>
      </c>
      <c r="F29" s="55">
        <v>34672.0</v>
      </c>
      <c r="G29" s="95" t="s">
        <v>54</v>
      </c>
      <c r="H29" s="57">
        <f t="shared" ref="H29:H30" si="20">F29/E29</f>
        <v>3.077578555</v>
      </c>
      <c r="I29" s="55" t="s">
        <v>53</v>
      </c>
      <c r="J29" s="55">
        <v>13253.0</v>
      </c>
      <c r="K29" s="55">
        <v>38909.0</v>
      </c>
      <c r="L29" s="95" t="s">
        <v>54</v>
      </c>
      <c r="M29" s="57">
        <f t="shared" ref="M29:M30" si="21">K29/J29</f>
        <v>2.935863578</v>
      </c>
      <c r="N29" s="55"/>
      <c r="O29" s="64">
        <v>489028.0</v>
      </c>
      <c r="P29" s="64">
        <v>179200.0</v>
      </c>
      <c r="Q29" s="55"/>
      <c r="R29" s="57">
        <f>O29/P29</f>
        <v>2.728950893</v>
      </c>
      <c r="S29" s="64">
        <v>38909.0</v>
      </c>
      <c r="T29" s="64">
        <v>21067.0</v>
      </c>
      <c r="U29" s="55"/>
      <c r="V29" s="58">
        <v>1.846916979</v>
      </c>
      <c r="W29" s="64">
        <v>22594.0</v>
      </c>
      <c r="X29" s="55"/>
      <c r="Y29" s="58">
        <v>1.81132159</v>
      </c>
      <c r="Z29" s="64">
        <v>21777.0</v>
      </c>
      <c r="AA29" s="56"/>
      <c r="AB29" s="58">
        <v>1.94</v>
      </c>
      <c r="AC29" s="64">
        <v>16002.0</v>
      </c>
      <c r="AD29" s="56"/>
      <c r="AE29" s="58">
        <v>2.43</v>
      </c>
      <c r="AF29" s="64">
        <v>38911.0</v>
      </c>
      <c r="AG29" s="56"/>
      <c r="AH29" s="58">
        <v>2.08</v>
      </c>
      <c r="AI29" s="15"/>
      <c r="AJ29" s="64">
        <v>16187.0</v>
      </c>
      <c r="AK29" s="56"/>
      <c r="AL29" s="58">
        <v>2.583492926</v>
      </c>
      <c r="AM29" s="96">
        <v>12433.0</v>
      </c>
      <c r="AN29" s="97"/>
      <c r="AO29" s="59">
        <v>3.11</v>
      </c>
      <c r="AP29" s="15"/>
      <c r="AQ29" s="96">
        <v>14803.0</v>
      </c>
      <c r="AR29" s="97"/>
      <c r="AS29" s="59">
        <v>2.63</v>
      </c>
      <c r="AT29" s="96">
        <v>19494.0</v>
      </c>
      <c r="AU29" s="97"/>
      <c r="AV29" s="59">
        <v>2.0</v>
      </c>
      <c r="AW29" s="5"/>
      <c r="AX29" s="5"/>
      <c r="AY29" s="5"/>
      <c r="AZ29" s="5"/>
      <c r="BA29" s="5"/>
      <c r="BB29" s="5"/>
      <c r="BC29" s="5"/>
      <c r="BD29" s="5"/>
      <c r="BE29" s="60"/>
      <c r="BF29" s="61"/>
      <c r="BG29" s="61"/>
      <c r="BH29" s="61"/>
      <c r="BI29" s="61"/>
      <c r="BJ29" s="61"/>
      <c r="BK29" s="62"/>
      <c r="BL29" s="62"/>
      <c r="BM29" s="62"/>
      <c r="BN29" s="62"/>
      <c r="BO29" s="62"/>
      <c r="BP29" s="62"/>
      <c r="BQ29" s="62"/>
      <c r="BR29" s="62"/>
      <c r="BS29" s="62"/>
      <c r="BT29" s="62"/>
      <c r="BU29" s="62"/>
      <c r="BV29" s="62"/>
      <c r="BW29" s="62"/>
      <c r="BX29" s="62"/>
      <c r="BY29" s="62"/>
      <c r="BZ29" s="62"/>
      <c r="CA29" s="62"/>
      <c r="CB29" s="62"/>
      <c r="CC29" s="62"/>
    </row>
    <row r="30" ht="51.75" customHeight="1">
      <c r="A30" s="2"/>
      <c r="B30" s="63"/>
      <c r="C30" s="54" t="s">
        <v>50</v>
      </c>
      <c r="D30" s="55" t="s">
        <v>53</v>
      </c>
      <c r="E30" s="55">
        <v>412.0</v>
      </c>
      <c r="F30" s="55">
        <v>3531.0</v>
      </c>
      <c r="G30" s="95" t="s">
        <v>54</v>
      </c>
      <c r="H30" s="57">
        <f t="shared" si="20"/>
        <v>8.57038835</v>
      </c>
      <c r="I30" s="55" t="s">
        <v>53</v>
      </c>
      <c r="J30" s="55">
        <v>6329.0</v>
      </c>
      <c r="K30" s="55">
        <v>29163.0</v>
      </c>
      <c r="L30" s="95" t="s">
        <v>54</v>
      </c>
      <c r="M30" s="57">
        <f t="shared" si="21"/>
        <v>4.607836941</v>
      </c>
      <c r="N30" s="55"/>
      <c r="O30" s="55"/>
      <c r="P30" s="55"/>
      <c r="Q30" s="55"/>
      <c r="R30" s="100"/>
      <c r="S30" s="64"/>
      <c r="T30" s="64"/>
      <c r="U30" s="55"/>
      <c r="V30" s="57"/>
      <c r="W30" s="64">
        <v>6486.0</v>
      </c>
      <c r="X30" s="55"/>
      <c r="Y30" s="58">
        <v>4.128122109</v>
      </c>
      <c r="Z30" s="64"/>
      <c r="AA30" s="56"/>
      <c r="AB30" s="58"/>
      <c r="AC30" s="55"/>
      <c r="AD30" s="56"/>
      <c r="AE30" s="58"/>
      <c r="AF30" s="55"/>
      <c r="AG30" s="56"/>
      <c r="AH30" s="58"/>
      <c r="AI30" s="15"/>
      <c r="AJ30" s="55"/>
      <c r="AK30" s="56"/>
      <c r="AL30" s="58"/>
      <c r="AM30" s="101"/>
      <c r="AN30" s="97"/>
      <c r="AO30" s="102"/>
      <c r="AP30" s="15"/>
      <c r="AQ30" s="101"/>
      <c r="AR30" s="97"/>
      <c r="AS30" s="102"/>
      <c r="AT30" s="101"/>
      <c r="AU30" s="97"/>
      <c r="AV30" s="102"/>
      <c r="AW30" s="5"/>
      <c r="AX30" s="5"/>
      <c r="AY30" s="5"/>
      <c r="AZ30" s="5"/>
      <c r="BA30" s="5"/>
      <c r="BB30" s="5"/>
      <c r="BC30" s="5"/>
      <c r="BD30" s="5"/>
      <c r="BE30" s="60"/>
      <c r="BF30" s="61"/>
      <c r="BG30" s="61"/>
      <c r="BH30" s="61"/>
      <c r="BI30" s="61"/>
      <c r="BJ30" s="61"/>
      <c r="BK30" s="62"/>
      <c r="BL30" s="62"/>
      <c r="BM30" s="62"/>
      <c r="BN30" s="62"/>
      <c r="BO30" s="62"/>
      <c r="BP30" s="62"/>
      <c r="BQ30" s="62"/>
      <c r="BR30" s="62"/>
      <c r="BS30" s="62"/>
      <c r="BT30" s="62"/>
      <c r="BU30" s="62"/>
      <c r="BV30" s="62"/>
      <c r="BW30" s="62"/>
      <c r="BX30" s="62"/>
      <c r="BY30" s="62"/>
      <c r="BZ30" s="62"/>
      <c r="CA30" s="62"/>
      <c r="CB30" s="62"/>
      <c r="CC30" s="62"/>
    </row>
    <row r="31" ht="26.25" customHeight="1">
      <c r="A31" s="2"/>
      <c r="B31" s="65"/>
      <c r="C31" s="48"/>
      <c r="D31" s="48"/>
      <c r="E31" s="66"/>
      <c r="F31" s="67"/>
      <c r="G31" s="67"/>
      <c r="H31" s="67"/>
      <c r="I31" s="68"/>
      <c r="J31" s="68"/>
      <c r="K31" s="68"/>
      <c r="L31" s="68"/>
      <c r="M31" s="68"/>
      <c r="N31" s="68"/>
      <c r="O31" s="68"/>
      <c r="P31" s="68"/>
      <c r="Q31" s="68"/>
      <c r="R31" s="68"/>
      <c r="S31" s="68"/>
      <c r="T31" s="68"/>
      <c r="U31" s="68"/>
      <c r="V31" s="68"/>
      <c r="W31" s="68"/>
      <c r="X31" s="68"/>
      <c r="Y31" s="68"/>
      <c r="Z31" s="69"/>
      <c r="AA31" s="69"/>
      <c r="AB31" s="69"/>
      <c r="AC31" s="70"/>
      <c r="AD31" s="70"/>
      <c r="AE31" s="70"/>
      <c r="AF31" s="70"/>
      <c r="AG31" s="70"/>
      <c r="AH31" s="70"/>
      <c r="AI31" s="15"/>
      <c r="AJ31" s="70"/>
      <c r="AK31" s="70"/>
      <c r="AL31" s="70"/>
      <c r="AM31" s="71"/>
      <c r="AN31" s="71"/>
      <c r="AO31" s="71"/>
      <c r="AP31" s="15"/>
      <c r="AQ31" s="71"/>
      <c r="AR31" s="71"/>
      <c r="AS31" s="71"/>
      <c r="AT31" s="71"/>
      <c r="AU31" s="71"/>
      <c r="AV31" s="71"/>
      <c r="AW31" s="5"/>
      <c r="AX31" s="5"/>
      <c r="AY31" s="5"/>
      <c r="AZ31" s="5"/>
      <c r="BA31" s="5"/>
      <c r="BB31" s="5"/>
      <c r="BC31" s="5"/>
      <c r="BD31" s="5"/>
      <c r="BE31" s="2"/>
      <c r="BF31" s="6"/>
      <c r="BG31" s="6"/>
      <c r="BH31" s="6"/>
      <c r="BI31" s="6"/>
      <c r="BJ31" s="6"/>
      <c r="BK31" s="7"/>
      <c r="BL31" s="7"/>
      <c r="BM31" s="7"/>
      <c r="BN31" s="7"/>
      <c r="BO31" s="7"/>
      <c r="BP31" s="7"/>
      <c r="BQ31" s="7"/>
      <c r="BR31" s="7"/>
      <c r="BS31" s="7"/>
      <c r="BT31" s="7"/>
      <c r="BU31" s="7"/>
      <c r="BV31" s="7"/>
      <c r="BW31" s="7"/>
      <c r="BX31" s="7"/>
      <c r="BY31" s="7"/>
      <c r="BZ31" s="7"/>
      <c r="CA31" s="7"/>
      <c r="CB31" s="7"/>
      <c r="CC31" s="7"/>
    </row>
    <row r="32" ht="33.75" customHeight="1">
      <c r="A32" s="72"/>
      <c r="B32" s="73" t="s">
        <v>51</v>
      </c>
      <c r="C32" s="74"/>
      <c r="D32" s="75"/>
      <c r="E32" s="75"/>
      <c r="F32" s="75"/>
      <c r="G32" s="75"/>
      <c r="H32" s="75"/>
      <c r="I32" s="75"/>
      <c r="J32" s="75"/>
      <c r="K32" s="75"/>
      <c r="L32" s="75"/>
      <c r="M32" s="81"/>
      <c r="N32" s="81"/>
      <c r="O32" s="81"/>
      <c r="P32" s="81"/>
      <c r="Q32" s="81"/>
      <c r="R32" s="81"/>
      <c r="S32" s="81"/>
      <c r="T32" s="81"/>
      <c r="U32" s="81"/>
      <c r="V32" s="81"/>
      <c r="W32" s="81"/>
      <c r="X32" s="81"/>
      <c r="Y32" s="81"/>
      <c r="Z32" s="75"/>
      <c r="AA32" s="75"/>
      <c r="AB32" s="75"/>
      <c r="AC32" s="82"/>
      <c r="AD32" s="82"/>
      <c r="AE32" s="82"/>
      <c r="AF32" s="82"/>
      <c r="AG32" s="82"/>
      <c r="AH32" s="82"/>
      <c r="AI32" s="15"/>
      <c r="AJ32" s="82"/>
      <c r="AK32" s="82"/>
      <c r="AL32" s="82"/>
      <c r="AM32" s="37"/>
      <c r="AN32" s="37"/>
      <c r="AO32" s="37"/>
      <c r="AP32" s="15"/>
      <c r="AQ32" s="37"/>
      <c r="AR32" s="37"/>
      <c r="AS32" s="37"/>
      <c r="AT32" s="37"/>
      <c r="AU32" s="37"/>
      <c r="AV32" s="37"/>
      <c r="AW32" s="5"/>
      <c r="AX32" s="5"/>
      <c r="AY32" s="5"/>
      <c r="AZ32" s="5"/>
      <c r="BA32" s="5"/>
      <c r="BB32" s="5"/>
      <c r="BC32" s="5"/>
      <c r="BD32" s="5"/>
      <c r="BE32" s="72"/>
      <c r="BF32" s="83"/>
      <c r="BG32" s="83"/>
      <c r="BH32" s="83"/>
      <c r="BI32" s="83"/>
      <c r="BJ32" s="83"/>
      <c r="BK32" s="84"/>
      <c r="BL32" s="84"/>
      <c r="BM32" s="84"/>
      <c r="BN32" s="84"/>
      <c r="BO32" s="84"/>
      <c r="BP32" s="84"/>
      <c r="BQ32" s="84"/>
      <c r="BR32" s="84"/>
      <c r="BS32" s="84"/>
      <c r="BT32" s="84"/>
      <c r="BU32" s="84"/>
      <c r="BV32" s="84"/>
      <c r="BW32" s="84"/>
      <c r="BX32" s="84"/>
      <c r="BY32" s="84"/>
      <c r="BZ32" s="84"/>
      <c r="CA32" s="84"/>
      <c r="CB32" s="84"/>
      <c r="CC32" s="84"/>
    </row>
    <row r="33" ht="15.75" customHeight="1">
      <c r="A33" s="98"/>
      <c r="B33" s="98"/>
      <c r="C33" s="98"/>
      <c r="D33" s="98"/>
      <c r="E33" s="98"/>
      <c r="F33" s="98"/>
      <c r="G33" s="98"/>
      <c r="H33" s="98"/>
      <c r="I33" s="99"/>
      <c r="J33" s="99"/>
      <c r="K33" s="99"/>
      <c r="L33" s="99"/>
      <c r="M33" s="99"/>
      <c r="N33" s="14"/>
      <c r="O33" s="14"/>
      <c r="P33" s="14"/>
      <c r="Q33" s="14"/>
      <c r="R33" s="14"/>
      <c r="S33" s="10"/>
      <c r="T33" s="10"/>
      <c r="U33" s="10"/>
      <c r="V33" s="10"/>
      <c r="W33" s="10"/>
      <c r="X33" s="14"/>
      <c r="Y33" s="15"/>
      <c r="Z33" s="15"/>
      <c r="AA33" s="15"/>
      <c r="AB33" s="15"/>
      <c r="AC33" s="15"/>
      <c r="AD33" s="15"/>
      <c r="AE33" s="15"/>
      <c r="AF33" s="15"/>
      <c r="AG33" s="15"/>
      <c r="AH33" s="15"/>
      <c r="AI33" s="15"/>
      <c r="AJ33" s="15"/>
      <c r="AK33" s="15"/>
      <c r="AL33" s="15"/>
      <c r="AM33" s="4"/>
      <c r="AN33" s="4"/>
      <c r="AO33" s="4"/>
      <c r="AP33" s="15"/>
      <c r="AQ33" s="4"/>
      <c r="AR33" s="4"/>
      <c r="AS33" s="4"/>
      <c r="AT33" s="5"/>
      <c r="AU33" s="5"/>
      <c r="AV33" s="5"/>
      <c r="AW33" s="5"/>
      <c r="AX33" s="5"/>
      <c r="AY33" s="5"/>
      <c r="AZ33" s="5"/>
      <c r="BA33" s="5"/>
      <c r="BB33" s="5"/>
      <c r="BC33" s="5"/>
      <c r="BD33" s="5"/>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row>
    <row r="34" ht="15.75" customHeight="1">
      <c r="A34" s="98"/>
      <c r="B34" s="98"/>
      <c r="C34" s="98"/>
      <c r="D34" s="98"/>
      <c r="E34" s="98"/>
      <c r="F34" s="98"/>
      <c r="G34" s="98"/>
      <c r="H34" s="98"/>
      <c r="I34" s="99"/>
      <c r="J34" s="99"/>
      <c r="K34" s="99"/>
      <c r="L34" s="99"/>
      <c r="M34" s="99"/>
      <c r="N34" s="14"/>
      <c r="O34" s="14"/>
      <c r="P34" s="14"/>
      <c r="Q34" s="14"/>
      <c r="R34" s="14"/>
      <c r="S34" s="10"/>
      <c r="T34" s="10"/>
      <c r="U34" s="10"/>
      <c r="V34" s="10"/>
      <c r="W34" s="10"/>
      <c r="X34" s="14"/>
      <c r="Y34" s="15"/>
      <c r="Z34" s="15"/>
      <c r="AA34" s="15"/>
      <c r="AB34" s="15"/>
      <c r="AC34" s="15"/>
      <c r="AD34" s="15"/>
      <c r="AE34" s="15"/>
      <c r="AF34" s="15"/>
      <c r="AG34" s="15"/>
      <c r="AH34" s="15"/>
      <c r="AI34" s="15"/>
      <c r="AJ34" s="15"/>
      <c r="AK34" s="15"/>
      <c r="AL34" s="15"/>
      <c r="AM34" s="4"/>
      <c r="AN34" s="4"/>
      <c r="AO34" s="4"/>
      <c r="AP34" s="15"/>
      <c r="AQ34" s="4"/>
      <c r="AR34" s="4"/>
      <c r="AS34" s="4"/>
      <c r="AT34" s="5"/>
      <c r="AU34" s="5"/>
      <c r="AV34" s="5"/>
      <c r="AW34" s="5"/>
      <c r="AX34" s="5"/>
      <c r="AY34" s="5"/>
      <c r="AZ34" s="5"/>
      <c r="BA34" s="5"/>
      <c r="BB34" s="5"/>
      <c r="BC34" s="5"/>
      <c r="BD34" s="5"/>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row>
    <row r="35" ht="15.75" customHeight="1">
      <c r="A35" s="98"/>
      <c r="B35" s="98"/>
      <c r="C35" s="98"/>
      <c r="D35" s="98"/>
      <c r="E35" s="98"/>
      <c r="F35" s="98"/>
      <c r="G35" s="98"/>
      <c r="H35" s="98"/>
      <c r="I35" s="99"/>
      <c r="J35" s="99"/>
      <c r="K35" s="99"/>
      <c r="L35" s="99"/>
      <c r="M35" s="99"/>
      <c r="N35" s="14"/>
      <c r="O35" s="14"/>
      <c r="P35" s="14"/>
      <c r="Q35" s="14"/>
      <c r="R35" s="14"/>
      <c r="S35" s="10"/>
      <c r="T35" s="10"/>
      <c r="U35" s="10"/>
      <c r="V35" s="10"/>
      <c r="W35" s="10"/>
      <c r="X35" s="14"/>
      <c r="Y35" s="15"/>
      <c r="Z35" s="15"/>
      <c r="AA35" s="15"/>
      <c r="AB35" s="15"/>
      <c r="AC35" s="15"/>
      <c r="AD35" s="15"/>
      <c r="AE35" s="15"/>
      <c r="AF35" s="15"/>
      <c r="AG35" s="15"/>
      <c r="AH35" s="15"/>
      <c r="AI35" s="15"/>
      <c r="AJ35" s="15"/>
      <c r="AK35" s="15"/>
      <c r="AL35" s="15"/>
      <c r="AM35" s="4"/>
      <c r="AN35" s="4"/>
      <c r="AO35" s="4"/>
      <c r="AP35" s="15"/>
      <c r="AQ35" s="4"/>
      <c r="AR35" s="4"/>
      <c r="AS35" s="4"/>
      <c r="AT35" s="5"/>
      <c r="AU35" s="5"/>
      <c r="AV35" s="5"/>
      <c r="AW35" s="5"/>
      <c r="AX35" s="5"/>
      <c r="AY35" s="5"/>
      <c r="AZ35" s="5"/>
      <c r="BA35" s="5"/>
      <c r="BB35" s="5"/>
      <c r="BC35" s="5"/>
      <c r="BD35" s="5"/>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row>
    <row r="36" ht="15.75" customHeight="1">
      <c r="A36" s="98"/>
      <c r="B36" s="98"/>
      <c r="C36" s="98"/>
      <c r="D36" s="98"/>
      <c r="E36" s="98"/>
      <c r="F36" s="98"/>
      <c r="G36" s="98"/>
      <c r="H36" s="98"/>
      <c r="I36" s="99"/>
      <c r="J36" s="99"/>
      <c r="K36" s="99"/>
      <c r="L36" s="99"/>
      <c r="M36" s="99"/>
      <c r="N36" s="14"/>
      <c r="O36" s="14"/>
      <c r="P36" s="14"/>
      <c r="Q36" s="14"/>
      <c r="R36" s="14"/>
      <c r="S36" s="10"/>
      <c r="T36" s="10"/>
      <c r="U36" s="10"/>
      <c r="V36" s="10"/>
      <c r="W36" s="10"/>
      <c r="X36" s="14"/>
      <c r="Y36" s="15"/>
      <c r="Z36" s="15"/>
      <c r="AA36" s="15"/>
      <c r="AB36" s="15"/>
      <c r="AC36" s="15"/>
      <c r="AD36" s="15"/>
      <c r="AE36" s="15"/>
      <c r="AF36" s="15"/>
      <c r="AG36" s="15"/>
      <c r="AH36" s="15"/>
      <c r="AI36" s="15"/>
      <c r="AJ36" s="15"/>
      <c r="AK36" s="15"/>
      <c r="AL36" s="15"/>
      <c r="AM36" s="4"/>
      <c r="AN36" s="4"/>
      <c r="AO36" s="4"/>
      <c r="AP36" s="15"/>
      <c r="AQ36" s="4"/>
      <c r="AR36" s="4"/>
      <c r="AS36" s="4"/>
      <c r="AT36" s="5"/>
      <c r="AU36" s="5"/>
      <c r="AV36" s="5"/>
      <c r="AW36" s="5"/>
      <c r="AX36" s="5"/>
      <c r="AY36" s="5"/>
      <c r="AZ36" s="5"/>
      <c r="BA36" s="5"/>
      <c r="BB36" s="5"/>
      <c r="BC36" s="5"/>
      <c r="BD36" s="5"/>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row>
    <row r="37" ht="15.75" customHeight="1">
      <c r="A37" s="98"/>
      <c r="B37" s="98"/>
      <c r="C37" s="98"/>
      <c r="D37" s="98"/>
      <c r="E37" s="98"/>
      <c r="F37" s="98"/>
      <c r="G37" s="98"/>
      <c r="H37" s="98"/>
      <c r="I37" s="99"/>
      <c r="J37" s="99"/>
      <c r="K37" s="99"/>
      <c r="L37" s="99"/>
      <c r="M37" s="99"/>
      <c r="N37" s="14"/>
      <c r="O37" s="14"/>
      <c r="P37" s="14"/>
      <c r="Q37" s="14"/>
      <c r="R37" s="14"/>
      <c r="S37" s="10"/>
      <c r="T37" s="10"/>
      <c r="U37" s="10"/>
      <c r="V37" s="10"/>
      <c r="W37" s="10"/>
      <c r="X37" s="14"/>
      <c r="Y37" s="15"/>
      <c r="Z37" s="15"/>
      <c r="AA37" s="15"/>
      <c r="AB37" s="15"/>
      <c r="AC37" s="15"/>
      <c r="AD37" s="15"/>
      <c r="AE37" s="15"/>
      <c r="AF37" s="15"/>
      <c r="AG37" s="15"/>
      <c r="AH37" s="15"/>
      <c r="AI37" s="15"/>
      <c r="AJ37" s="15"/>
      <c r="AK37" s="15"/>
      <c r="AL37" s="15"/>
      <c r="AM37" s="4"/>
      <c r="AN37" s="4"/>
      <c r="AO37" s="4"/>
      <c r="AP37" s="15"/>
      <c r="AQ37" s="4"/>
      <c r="AR37" s="4"/>
      <c r="AS37" s="4"/>
      <c r="AT37" s="5"/>
      <c r="AU37" s="5"/>
      <c r="AV37" s="5"/>
      <c r="AW37" s="5"/>
      <c r="AX37" s="5"/>
      <c r="AY37" s="5"/>
      <c r="AZ37" s="5"/>
      <c r="BA37" s="5"/>
      <c r="BB37" s="5"/>
      <c r="BC37" s="5"/>
      <c r="BD37" s="5"/>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row>
    <row r="38" ht="15.75" customHeight="1">
      <c r="A38" s="98"/>
      <c r="B38" s="98"/>
      <c r="C38" s="98"/>
      <c r="D38" s="98"/>
      <c r="E38" s="98"/>
      <c r="F38" s="98"/>
      <c r="G38" s="98"/>
      <c r="H38" s="98"/>
      <c r="I38" s="99"/>
      <c r="J38" s="99"/>
      <c r="K38" s="99"/>
      <c r="L38" s="99"/>
      <c r="M38" s="99"/>
      <c r="N38" s="14"/>
      <c r="O38" s="14"/>
      <c r="P38" s="14"/>
      <c r="Q38" s="14"/>
      <c r="R38" s="14"/>
      <c r="S38" s="10"/>
      <c r="T38" s="10"/>
      <c r="U38" s="10"/>
      <c r="V38" s="10"/>
      <c r="W38" s="10"/>
      <c r="X38" s="14"/>
      <c r="Y38" s="15"/>
      <c r="Z38" s="15"/>
      <c r="AA38" s="15"/>
      <c r="AB38" s="15"/>
      <c r="AC38" s="15"/>
      <c r="AD38" s="15"/>
      <c r="AE38" s="15"/>
      <c r="AF38" s="15"/>
      <c r="AG38" s="15"/>
      <c r="AH38" s="15"/>
      <c r="AI38" s="15"/>
      <c r="AJ38" s="15"/>
      <c r="AK38" s="15"/>
      <c r="AL38" s="15"/>
      <c r="AM38" s="4"/>
      <c r="AN38" s="4"/>
      <c r="AO38" s="4"/>
      <c r="AP38" s="15"/>
      <c r="AQ38" s="4"/>
      <c r="AR38" s="4"/>
      <c r="AS38" s="4"/>
      <c r="AT38" s="5"/>
      <c r="AU38" s="5"/>
      <c r="AV38" s="5"/>
      <c r="AW38" s="5"/>
      <c r="AX38" s="5"/>
      <c r="AY38" s="5"/>
      <c r="AZ38" s="5"/>
      <c r="BA38" s="5"/>
      <c r="BB38" s="5"/>
      <c r="BC38" s="5"/>
      <c r="BD38" s="5"/>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row>
    <row r="39" ht="15.75" customHeight="1">
      <c r="A39" s="98"/>
      <c r="B39" s="98"/>
      <c r="C39" s="98"/>
      <c r="D39" s="98"/>
      <c r="E39" s="98"/>
      <c r="F39" s="98"/>
      <c r="G39" s="98"/>
      <c r="H39" s="98"/>
      <c r="I39" s="99"/>
      <c r="J39" s="99"/>
      <c r="K39" s="99"/>
      <c r="L39" s="99"/>
      <c r="M39" s="99"/>
      <c r="N39" s="14"/>
      <c r="O39" s="14"/>
      <c r="P39" s="14"/>
      <c r="Q39" s="14"/>
      <c r="R39" s="14"/>
      <c r="S39" s="10"/>
      <c r="T39" s="10"/>
      <c r="U39" s="10"/>
      <c r="V39" s="10"/>
      <c r="W39" s="10"/>
      <c r="X39" s="14"/>
      <c r="Y39" s="15"/>
      <c r="Z39" s="15"/>
      <c r="AA39" s="15"/>
      <c r="AB39" s="15"/>
      <c r="AC39" s="15"/>
      <c r="AD39" s="15"/>
      <c r="AE39" s="15"/>
      <c r="AF39" s="15"/>
      <c r="AG39" s="15"/>
      <c r="AH39" s="15"/>
      <c r="AI39" s="15"/>
      <c r="AJ39" s="15"/>
      <c r="AK39" s="15"/>
      <c r="AL39" s="15"/>
      <c r="AM39" s="4"/>
      <c r="AN39" s="4"/>
      <c r="AO39" s="4"/>
      <c r="AP39" s="15"/>
      <c r="AQ39" s="4"/>
      <c r="AR39" s="4"/>
      <c r="AS39" s="4"/>
      <c r="AT39" s="5"/>
      <c r="AU39" s="5"/>
      <c r="AV39" s="5"/>
      <c r="AW39" s="5"/>
      <c r="AX39" s="5"/>
      <c r="AY39" s="5"/>
      <c r="AZ39" s="5"/>
      <c r="BA39" s="5"/>
      <c r="BB39" s="5"/>
      <c r="BC39" s="5"/>
      <c r="BD39" s="5"/>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row>
    <row r="40" ht="15.75" customHeight="1">
      <c r="A40" s="98"/>
      <c r="B40" s="98"/>
      <c r="C40" s="98"/>
      <c r="D40" s="98"/>
      <c r="E40" s="98"/>
      <c r="F40" s="98"/>
      <c r="G40" s="98"/>
      <c r="H40" s="98"/>
      <c r="I40" s="99"/>
      <c r="J40" s="99"/>
      <c r="K40" s="99"/>
      <c r="L40" s="99"/>
      <c r="M40" s="99"/>
      <c r="N40" s="14"/>
      <c r="O40" s="14"/>
      <c r="P40" s="14"/>
      <c r="Q40" s="14"/>
      <c r="R40" s="14"/>
      <c r="S40" s="10"/>
      <c r="T40" s="10"/>
      <c r="U40" s="10"/>
      <c r="V40" s="10"/>
      <c r="W40" s="10"/>
      <c r="X40" s="14"/>
      <c r="Y40" s="15"/>
      <c r="Z40" s="15"/>
      <c r="AA40" s="15"/>
      <c r="AB40" s="15"/>
      <c r="AC40" s="15"/>
      <c r="AD40" s="15"/>
      <c r="AE40" s="15"/>
      <c r="AF40" s="15"/>
      <c r="AG40" s="15"/>
      <c r="AH40" s="15"/>
      <c r="AI40" s="15"/>
      <c r="AJ40" s="15"/>
      <c r="AK40" s="15"/>
      <c r="AL40" s="15"/>
      <c r="AM40" s="4"/>
      <c r="AN40" s="4"/>
      <c r="AO40" s="4"/>
      <c r="AP40" s="15"/>
      <c r="AQ40" s="4"/>
      <c r="AR40" s="4"/>
      <c r="AS40" s="4"/>
      <c r="AT40" s="5"/>
      <c r="AU40" s="5"/>
      <c r="AV40" s="5"/>
      <c r="AW40" s="5"/>
      <c r="AX40" s="5"/>
      <c r="AY40" s="5"/>
      <c r="AZ40" s="5"/>
      <c r="BA40" s="5"/>
      <c r="BB40" s="5"/>
      <c r="BC40" s="5"/>
      <c r="BD40" s="5"/>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row>
    <row r="41" ht="15.75" customHeight="1">
      <c r="A41" s="98"/>
      <c r="B41" s="98"/>
      <c r="C41" s="98"/>
      <c r="D41" s="98"/>
      <c r="E41" s="98"/>
      <c r="F41" s="98"/>
      <c r="G41" s="98"/>
      <c r="H41" s="98"/>
      <c r="I41" s="99"/>
      <c r="J41" s="99"/>
      <c r="K41" s="99"/>
      <c r="L41" s="99"/>
      <c r="M41" s="99"/>
      <c r="N41" s="14"/>
      <c r="O41" s="14"/>
      <c r="P41" s="14"/>
      <c r="Q41" s="14"/>
      <c r="R41" s="14"/>
      <c r="S41" s="10"/>
      <c r="T41" s="10"/>
      <c r="U41" s="10"/>
      <c r="V41" s="10"/>
      <c r="W41" s="10"/>
      <c r="X41" s="14"/>
      <c r="Y41" s="15"/>
      <c r="Z41" s="15"/>
      <c r="AA41" s="15"/>
      <c r="AB41" s="15"/>
      <c r="AC41" s="15"/>
      <c r="AD41" s="15"/>
      <c r="AE41" s="15"/>
      <c r="AF41" s="15"/>
      <c r="AG41" s="15"/>
      <c r="AH41" s="15"/>
      <c r="AI41" s="15"/>
      <c r="AJ41" s="15"/>
      <c r="AK41" s="15"/>
      <c r="AL41" s="15"/>
      <c r="AM41" s="4"/>
      <c r="AN41" s="4"/>
      <c r="AO41" s="4"/>
      <c r="AP41" s="15"/>
      <c r="AQ41" s="4"/>
      <c r="AR41" s="4"/>
      <c r="AS41" s="4"/>
      <c r="AT41" s="5"/>
      <c r="AU41" s="5"/>
      <c r="AV41" s="5"/>
      <c r="AW41" s="5"/>
      <c r="AX41" s="5"/>
      <c r="AY41" s="5"/>
      <c r="AZ41" s="5"/>
      <c r="BA41" s="5"/>
      <c r="BB41" s="5"/>
      <c r="BC41" s="5"/>
      <c r="BD41" s="5"/>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row>
    <row r="42" ht="15.75" customHeight="1">
      <c r="A42" s="98"/>
      <c r="B42" s="98"/>
      <c r="C42" s="98"/>
      <c r="D42" s="98"/>
      <c r="E42" s="98"/>
      <c r="F42" s="98"/>
      <c r="G42" s="98"/>
      <c r="H42" s="98"/>
      <c r="I42" s="99"/>
      <c r="J42" s="99"/>
      <c r="K42" s="99"/>
      <c r="L42" s="99"/>
      <c r="M42" s="99"/>
      <c r="N42" s="14"/>
      <c r="O42" s="14"/>
      <c r="P42" s="14"/>
      <c r="Q42" s="14"/>
      <c r="R42" s="14"/>
      <c r="S42" s="10"/>
      <c r="T42" s="10"/>
      <c r="U42" s="10"/>
      <c r="V42" s="10"/>
      <c r="W42" s="10"/>
      <c r="X42" s="14"/>
      <c r="Y42" s="15"/>
      <c r="Z42" s="15"/>
      <c r="AA42" s="15"/>
      <c r="AB42" s="15"/>
      <c r="AC42" s="15"/>
      <c r="AD42" s="15"/>
      <c r="AE42" s="15"/>
      <c r="AF42" s="15"/>
      <c r="AG42" s="15"/>
      <c r="AH42" s="15"/>
      <c r="AI42" s="15"/>
      <c r="AJ42" s="15"/>
      <c r="AK42" s="15"/>
      <c r="AL42" s="15"/>
      <c r="AM42" s="4"/>
      <c r="AN42" s="4"/>
      <c r="AO42" s="4"/>
      <c r="AP42" s="15"/>
      <c r="AQ42" s="4"/>
      <c r="AR42" s="4"/>
      <c r="AS42" s="4"/>
      <c r="AT42" s="5"/>
      <c r="AU42" s="5"/>
      <c r="AV42" s="5"/>
      <c r="AW42" s="5"/>
      <c r="AX42" s="5"/>
      <c r="AY42" s="5"/>
      <c r="AZ42" s="5"/>
      <c r="BA42" s="5"/>
      <c r="BB42" s="5"/>
      <c r="BC42" s="5"/>
      <c r="BD42" s="5"/>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row>
    <row r="43" ht="15.75" customHeight="1">
      <c r="A43" s="98"/>
      <c r="B43" s="98"/>
      <c r="C43" s="98"/>
      <c r="D43" s="98"/>
      <c r="E43" s="98"/>
      <c r="F43" s="98"/>
      <c r="G43" s="98"/>
      <c r="H43" s="98"/>
      <c r="I43" s="99"/>
      <c r="J43" s="99"/>
      <c r="K43" s="99"/>
      <c r="L43" s="99"/>
      <c r="M43" s="99"/>
      <c r="N43" s="14"/>
      <c r="O43" s="14"/>
      <c r="P43" s="14"/>
      <c r="Q43" s="14"/>
      <c r="R43" s="14"/>
      <c r="S43" s="10"/>
      <c r="T43" s="10"/>
      <c r="U43" s="10"/>
      <c r="V43" s="10"/>
      <c r="W43" s="10"/>
      <c r="X43" s="14"/>
      <c r="Y43" s="15"/>
      <c r="Z43" s="15"/>
      <c r="AA43" s="15"/>
      <c r="AB43" s="15"/>
      <c r="AC43" s="15"/>
      <c r="AD43" s="15"/>
      <c r="AE43" s="15"/>
      <c r="AF43" s="15"/>
      <c r="AG43" s="15"/>
      <c r="AH43" s="15"/>
      <c r="AI43" s="15"/>
      <c r="AJ43" s="15"/>
      <c r="AK43" s="15"/>
      <c r="AL43" s="15"/>
      <c r="AM43" s="4"/>
      <c r="AN43" s="4"/>
      <c r="AO43" s="4"/>
      <c r="AP43" s="15"/>
      <c r="AQ43" s="4"/>
      <c r="AR43" s="4"/>
      <c r="AS43" s="4"/>
      <c r="AT43" s="5"/>
      <c r="AU43" s="5"/>
      <c r="AV43" s="5"/>
      <c r="AW43" s="5"/>
      <c r="AX43" s="5"/>
      <c r="AY43" s="5"/>
      <c r="AZ43" s="5"/>
      <c r="BA43" s="5"/>
      <c r="BB43" s="5"/>
      <c r="BC43" s="5"/>
      <c r="BD43" s="5"/>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row>
    <row r="44" ht="15.75" customHeight="1">
      <c r="A44" s="98"/>
      <c r="B44" s="98"/>
      <c r="C44" s="98"/>
      <c r="D44" s="98"/>
      <c r="E44" s="98"/>
      <c r="F44" s="98"/>
      <c r="G44" s="98"/>
      <c r="H44" s="98"/>
      <c r="I44" s="99"/>
      <c r="J44" s="99"/>
      <c r="K44" s="99"/>
      <c r="L44" s="99"/>
      <c r="M44" s="99"/>
      <c r="N44" s="14"/>
      <c r="O44" s="14"/>
      <c r="P44" s="14"/>
      <c r="Q44" s="14"/>
      <c r="R44" s="14"/>
      <c r="S44" s="10"/>
      <c r="T44" s="10"/>
      <c r="U44" s="10"/>
      <c r="V44" s="10"/>
      <c r="W44" s="10"/>
      <c r="X44" s="14"/>
      <c r="Y44" s="15"/>
      <c r="Z44" s="15"/>
      <c r="AA44" s="15"/>
      <c r="AB44" s="15"/>
      <c r="AC44" s="15"/>
      <c r="AD44" s="15"/>
      <c r="AE44" s="15"/>
      <c r="AF44" s="15"/>
      <c r="AG44" s="15"/>
      <c r="AH44" s="15"/>
      <c r="AI44" s="15"/>
      <c r="AJ44" s="15"/>
      <c r="AK44" s="15"/>
      <c r="AL44" s="15"/>
      <c r="AM44" s="4"/>
      <c r="AN44" s="4"/>
      <c r="AO44" s="4"/>
      <c r="AP44" s="15"/>
      <c r="AQ44" s="4"/>
      <c r="AR44" s="4"/>
      <c r="AS44" s="4"/>
      <c r="AT44" s="5"/>
      <c r="AU44" s="5"/>
      <c r="AV44" s="5"/>
      <c r="AW44" s="5"/>
      <c r="AX44" s="5"/>
      <c r="AY44" s="5"/>
      <c r="AZ44" s="5"/>
      <c r="BA44" s="5"/>
      <c r="BB44" s="5"/>
      <c r="BC44" s="5"/>
      <c r="BD44" s="5"/>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row>
    <row r="45" ht="15.75" customHeight="1">
      <c r="A45" s="98"/>
      <c r="B45" s="98"/>
      <c r="C45" s="98"/>
      <c r="D45" s="98"/>
      <c r="E45" s="98"/>
      <c r="F45" s="98"/>
      <c r="G45" s="98"/>
      <c r="H45" s="98"/>
      <c r="I45" s="99"/>
      <c r="J45" s="99"/>
      <c r="K45" s="99"/>
      <c r="L45" s="99"/>
      <c r="M45" s="99"/>
      <c r="N45" s="14"/>
      <c r="O45" s="14"/>
      <c r="P45" s="14"/>
      <c r="Q45" s="14"/>
      <c r="R45" s="14"/>
      <c r="S45" s="10"/>
      <c r="T45" s="10"/>
      <c r="U45" s="10"/>
      <c r="V45" s="10"/>
      <c r="W45" s="10"/>
      <c r="X45" s="14"/>
      <c r="Y45" s="15"/>
      <c r="Z45" s="15"/>
      <c r="AA45" s="15"/>
      <c r="AB45" s="15"/>
      <c r="AC45" s="15"/>
      <c r="AD45" s="15"/>
      <c r="AE45" s="15"/>
      <c r="AF45" s="15"/>
      <c r="AG45" s="15"/>
      <c r="AH45" s="15"/>
      <c r="AI45" s="15"/>
      <c r="AJ45" s="15"/>
      <c r="AK45" s="15"/>
      <c r="AL45" s="15"/>
      <c r="AM45" s="4"/>
      <c r="AN45" s="4"/>
      <c r="AO45" s="4"/>
      <c r="AP45" s="15"/>
      <c r="AQ45" s="4"/>
      <c r="AR45" s="4"/>
      <c r="AS45" s="4"/>
      <c r="AT45" s="5"/>
      <c r="AU45" s="5"/>
      <c r="AV45" s="5"/>
      <c r="AW45" s="5"/>
      <c r="AX45" s="5"/>
      <c r="AY45" s="5"/>
      <c r="AZ45" s="5"/>
      <c r="BA45" s="5"/>
      <c r="BB45" s="5"/>
      <c r="BC45" s="5"/>
      <c r="BD45" s="5"/>
      <c r="BE45" s="98"/>
      <c r="BF45" s="98"/>
      <c r="BG45" s="98"/>
      <c r="BH45" s="98"/>
      <c r="BI45" s="98"/>
      <c r="BJ45" s="98"/>
      <c r="BK45" s="98"/>
      <c r="BL45" s="98"/>
      <c r="BM45" s="98"/>
      <c r="BN45" s="98"/>
      <c r="BO45" s="98"/>
      <c r="BP45" s="98"/>
      <c r="BQ45" s="98"/>
      <c r="BR45" s="98"/>
      <c r="BS45" s="98"/>
      <c r="BT45" s="98"/>
      <c r="BU45" s="98"/>
      <c r="BV45" s="98"/>
      <c r="BW45" s="98"/>
      <c r="BX45" s="98"/>
      <c r="BY45" s="98"/>
      <c r="BZ45" s="98"/>
      <c r="CA45" s="98"/>
      <c r="CB45" s="98"/>
      <c r="CC45" s="98"/>
    </row>
    <row r="46" ht="15.75" customHeight="1">
      <c r="A46" s="98"/>
      <c r="B46" s="98"/>
      <c r="C46" s="98"/>
      <c r="D46" s="98"/>
      <c r="E46" s="98"/>
      <c r="F46" s="98"/>
      <c r="G46" s="98"/>
      <c r="H46" s="98"/>
      <c r="I46" s="99"/>
      <c r="J46" s="99"/>
      <c r="K46" s="99"/>
      <c r="L46" s="99"/>
      <c r="M46" s="99"/>
      <c r="N46" s="14"/>
      <c r="O46" s="14"/>
      <c r="P46" s="14"/>
      <c r="Q46" s="14"/>
      <c r="R46" s="14"/>
      <c r="S46" s="10"/>
      <c r="T46" s="10"/>
      <c r="U46" s="10"/>
      <c r="V46" s="10"/>
      <c r="W46" s="10"/>
      <c r="X46" s="14"/>
      <c r="Y46" s="15"/>
      <c r="Z46" s="15"/>
      <c r="AA46" s="15"/>
      <c r="AB46" s="15"/>
      <c r="AC46" s="15"/>
      <c r="AD46" s="15"/>
      <c r="AE46" s="15"/>
      <c r="AF46" s="15"/>
      <c r="AG46" s="15"/>
      <c r="AH46" s="15"/>
      <c r="AI46" s="15"/>
      <c r="AJ46" s="15"/>
      <c r="AK46" s="15"/>
      <c r="AL46" s="15"/>
      <c r="AM46" s="4"/>
      <c r="AN46" s="4"/>
      <c r="AO46" s="4"/>
      <c r="AP46" s="15"/>
      <c r="AQ46" s="4"/>
      <c r="AR46" s="4"/>
      <c r="AS46" s="4"/>
      <c r="AT46" s="5"/>
      <c r="AU46" s="5"/>
      <c r="AV46" s="5"/>
      <c r="AW46" s="5"/>
      <c r="AX46" s="5"/>
      <c r="AY46" s="5"/>
      <c r="AZ46" s="5"/>
      <c r="BA46" s="5"/>
      <c r="BB46" s="5"/>
      <c r="BC46" s="5"/>
      <c r="BD46" s="5"/>
      <c r="BE46" s="98"/>
      <c r="BF46" s="98"/>
      <c r="BG46" s="98"/>
      <c r="BH46" s="98"/>
      <c r="BI46" s="98"/>
      <c r="BJ46" s="98"/>
      <c r="BK46" s="98"/>
      <c r="BL46" s="98"/>
      <c r="BM46" s="98"/>
      <c r="BN46" s="98"/>
      <c r="BO46" s="98"/>
      <c r="BP46" s="98"/>
      <c r="BQ46" s="98"/>
      <c r="BR46" s="98"/>
      <c r="BS46" s="98"/>
      <c r="BT46" s="98"/>
      <c r="BU46" s="98"/>
      <c r="BV46" s="98"/>
      <c r="BW46" s="98"/>
      <c r="BX46" s="98"/>
      <c r="BY46" s="98"/>
      <c r="BZ46" s="98"/>
      <c r="CA46" s="98"/>
      <c r="CB46" s="98"/>
      <c r="CC46" s="98"/>
    </row>
    <row r="47" ht="15.75" customHeight="1">
      <c r="A47" s="98"/>
      <c r="B47" s="98"/>
      <c r="C47" s="98"/>
      <c r="D47" s="98"/>
      <c r="E47" s="98"/>
      <c r="F47" s="98"/>
      <c r="G47" s="98"/>
      <c r="H47" s="98"/>
      <c r="I47" s="99"/>
      <c r="J47" s="99"/>
      <c r="K47" s="99"/>
      <c r="L47" s="99"/>
      <c r="M47" s="99"/>
      <c r="N47" s="14"/>
      <c r="O47" s="14"/>
      <c r="P47" s="14"/>
      <c r="Q47" s="14"/>
      <c r="R47" s="14"/>
      <c r="S47" s="10"/>
      <c r="T47" s="10"/>
      <c r="U47" s="10"/>
      <c r="V47" s="10"/>
      <c r="W47" s="10"/>
      <c r="X47" s="14"/>
      <c r="Y47" s="15"/>
      <c r="Z47" s="15"/>
      <c r="AA47" s="15"/>
      <c r="AB47" s="15"/>
      <c r="AC47" s="15"/>
      <c r="AD47" s="15"/>
      <c r="AE47" s="15"/>
      <c r="AF47" s="15"/>
      <c r="AG47" s="15"/>
      <c r="AH47" s="15"/>
      <c r="AI47" s="15"/>
      <c r="AJ47" s="15"/>
      <c r="AK47" s="15"/>
      <c r="AL47" s="15"/>
      <c r="AM47" s="4"/>
      <c r="AN47" s="4"/>
      <c r="AO47" s="4"/>
      <c r="AP47" s="15"/>
      <c r="AQ47" s="4"/>
      <c r="AR47" s="4"/>
      <c r="AS47" s="4"/>
      <c r="AT47" s="5"/>
      <c r="AU47" s="5"/>
      <c r="AV47" s="5"/>
      <c r="AW47" s="5"/>
      <c r="AX47" s="5"/>
      <c r="AY47" s="5"/>
      <c r="AZ47" s="5"/>
      <c r="BA47" s="5"/>
      <c r="BB47" s="5"/>
      <c r="BC47" s="5"/>
      <c r="BD47" s="5"/>
      <c r="BE47" s="98"/>
      <c r="BF47" s="98"/>
      <c r="BG47" s="98"/>
      <c r="BH47" s="98"/>
      <c r="BI47" s="98"/>
      <c r="BJ47" s="98"/>
      <c r="BK47" s="98"/>
      <c r="BL47" s="98"/>
      <c r="BM47" s="98"/>
      <c r="BN47" s="98"/>
      <c r="BO47" s="98"/>
      <c r="BP47" s="98"/>
      <c r="BQ47" s="98"/>
      <c r="BR47" s="98"/>
      <c r="BS47" s="98"/>
      <c r="BT47" s="98"/>
      <c r="BU47" s="98"/>
      <c r="BV47" s="98"/>
      <c r="BW47" s="98"/>
      <c r="BX47" s="98"/>
      <c r="BY47" s="98"/>
      <c r="BZ47" s="98"/>
      <c r="CA47" s="98"/>
      <c r="CB47" s="98"/>
      <c r="CC47" s="98"/>
    </row>
    <row r="48" ht="15.75" customHeight="1">
      <c r="A48" s="98"/>
      <c r="B48" s="98"/>
      <c r="C48" s="98"/>
      <c r="D48" s="98"/>
      <c r="E48" s="98"/>
      <c r="F48" s="98"/>
      <c r="G48" s="98"/>
      <c r="H48" s="98"/>
      <c r="I48" s="99"/>
      <c r="J48" s="99"/>
      <c r="K48" s="99"/>
      <c r="L48" s="99"/>
      <c r="M48" s="99"/>
      <c r="N48" s="14"/>
      <c r="O48" s="14"/>
      <c r="P48" s="14"/>
      <c r="Q48" s="14"/>
      <c r="R48" s="14"/>
      <c r="S48" s="10"/>
      <c r="T48" s="10"/>
      <c r="U48" s="10"/>
      <c r="V48" s="10"/>
      <c r="W48" s="10"/>
      <c r="X48" s="14"/>
      <c r="Y48" s="15"/>
      <c r="Z48" s="15"/>
      <c r="AA48" s="15"/>
      <c r="AB48" s="15"/>
      <c r="AC48" s="15"/>
      <c r="AD48" s="15"/>
      <c r="AE48" s="15"/>
      <c r="AF48" s="15"/>
      <c r="AG48" s="15"/>
      <c r="AH48" s="15"/>
      <c r="AI48" s="15"/>
      <c r="AJ48" s="15"/>
      <c r="AK48" s="15"/>
      <c r="AL48" s="15"/>
      <c r="AM48" s="4"/>
      <c r="AN48" s="4"/>
      <c r="AO48" s="4"/>
      <c r="AP48" s="15"/>
      <c r="AQ48" s="4"/>
      <c r="AR48" s="4"/>
      <c r="AS48" s="4"/>
      <c r="AT48" s="5"/>
      <c r="AU48" s="5"/>
      <c r="AV48" s="5"/>
      <c r="AW48" s="5"/>
      <c r="AX48" s="5"/>
      <c r="AY48" s="5"/>
      <c r="AZ48" s="5"/>
      <c r="BA48" s="5"/>
      <c r="BB48" s="5"/>
      <c r="BC48" s="5"/>
      <c r="BD48" s="5"/>
      <c r="BE48" s="98"/>
      <c r="BF48" s="98"/>
      <c r="BG48" s="98"/>
      <c r="BH48" s="98"/>
      <c r="BI48" s="98"/>
      <c r="BJ48" s="98"/>
      <c r="BK48" s="98"/>
      <c r="BL48" s="98"/>
      <c r="BM48" s="98"/>
      <c r="BN48" s="98"/>
      <c r="BO48" s="98"/>
      <c r="BP48" s="98"/>
      <c r="BQ48" s="98"/>
      <c r="BR48" s="98"/>
      <c r="BS48" s="98"/>
      <c r="BT48" s="98"/>
      <c r="BU48" s="98"/>
      <c r="BV48" s="98"/>
      <c r="BW48" s="98"/>
      <c r="BX48" s="98"/>
      <c r="BY48" s="98"/>
      <c r="BZ48" s="98"/>
      <c r="CA48" s="98"/>
      <c r="CB48" s="98"/>
      <c r="CC48" s="98"/>
    </row>
    <row r="49" ht="15.75" customHeight="1">
      <c r="A49" s="98"/>
      <c r="B49" s="98"/>
      <c r="C49" s="98"/>
      <c r="D49" s="98"/>
      <c r="E49" s="98"/>
      <c r="F49" s="98"/>
      <c r="G49" s="98"/>
      <c r="H49" s="98"/>
      <c r="I49" s="99"/>
      <c r="J49" s="99"/>
      <c r="K49" s="99"/>
      <c r="L49" s="99"/>
      <c r="M49" s="99"/>
      <c r="N49" s="14"/>
      <c r="O49" s="14"/>
      <c r="P49" s="14"/>
      <c r="Q49" s="14"/>
      <c r="R49" s="14"/>
      <c r="S49" s="10"/>
      <c r="T49" s="10"/>
      <c r="U49" s="10"/>
      <c r="V49" s="10"/>
      <c r="W49" s="10"/>
      <c r="X49" s="14"/>
      <c r="Y49" s="15"/>
      <c r="Z49" s="15"/>
      <c r="AA49" s="15"/>
      <c r="AB49" s="15"/>
      <c r="AC49" s="15"/>
      <c r="AD49" s="15"/>
      <c r="AE49" s="15"/>
      <c r="AF49" s="15"/>
      <c r="AG49" s="15"/>
      <c r="AH49" s="15"/>
      <c r="AI49" s="15"/>
      <c r="AJ49" s="15"/>
      <c r="AK49" s="15"/>
      <c r="AL49" s="15"/>
      <c r="AM49" s="4"/>
      <c r="AN49" s="4"/>
      <c r="AO49" s="4"/>
      <c r="AP49" s="15"/>
      <c r="AQ49" s="4"/>
      <c r="AR49" s="4"/>
      <c r="AS49" s="4"/>
      <c r="AT49" s="5"/>
      <c r="AU49" s="5"/>
      <c r="AV49" s="5"/>
      <c r="AW49" s="5"/>
      <c r="AX49" s="5"/>
      <c r="AY49" s="5"/>
      <c r="AZ49" s="5"/>
      <c r="BA49" s="5"/>
      <c r="BB49" s="5"/>
      <c r="BC49" s="5"/>
      <c r="BD49" s="5"/>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row>
    <row r="50" ht="15.75" customHeight="1">
      <c r="A50" s="98"/>
      <c r="B50" s="98"/>
      <c r="C50" s="98"/>
      <c r="D50" s="98"/>
      <c r="E50" s="98"/>
      <c r="F50" s="98"/>
      <c r="G50" s="98"/>
      <c r="H50" s="98"/>
      <c r="I50" s="99"/>
      <c r="J50" s="99"/>
      <c r="K50" s="99"/>
      <c r="L50" s="99"/>
      <c r="M50" s="99"/>
      <c r="N50" s="14"/>
      <c r="O50" s="14"/>
      <c r="P50" s="14"/>
      <c r="Q50" s="14"/>
      <c r="R50" s="14"/>
      <c r="S50" s="10"/>
      <c r="T50" s="10"/>
      <c r="U50" s="10"/>
      <c r="V50" s="10"/>
      <c r="W50" s="10"/>
      <c r="X50" s="14"/>
      <c r="Y50" s="15"/>
      <c r="Z50" s="15"/>
      <c r="AA50" s="15"/>
      <c r="AB50" s="15"/>
      <c r="AC50" s="15"/>
      <c r="AD50" s="15"/>
      <c r="AE50" s="15"/>
      <c r="AF50" s="15"/>
      <c r="AG50" s="15"/>
      <c r="AH50" s="15"/>
      <c r="AI50" s="15"/>
      <c r="AJ50" s="15"/>
      <c r="AK50" s="15"/>
      <c r="AL50" s="15"/>
      <c r="AM50" s="4"/>
      <c r="AN50" s="4"/>
      <c r="AO50" s="4"/>
      <c r="AP50" s="15"/>
      <c r="AQ50" s="4"/>
      <c r="AR50" s="4"/>
      <c r="AS50" s="4"/>
      <c r="AT50" s="5"/>
      <c r="AU50" s="5"/>
      <c r="AV50" s="5"/>
      <c r="AW50" s="5"/>
      <c r="AX50" s="5"/>
      <c r="AY50" s="5"/>
      <c r="AZ50" s="5"/>
      <c r="BA50" s="5"/>
      <c r="BB50" s="5"/>
      <c r="BC50" s="5"/>
      <c r="BD50" s="5"/>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row>
    <row r="51" ht="15.75" customHeight="1">
      <c r="A51" s="98"/>
      <c r="B51" s="98"/>
      <c r="C51" s="98"/>
      <c r="D51" s="98"/>
      <c r="E51" s="98"/>
      <c r="F51" s="98"/>
      <c r="G51" s="98"/>
      <c r="H51" s="98"/>
      <c r="I51" s="99"/>
      <c r="J51" s="99"/>
      <c r="K51" s="99"/>
      <c r="L51" s="99"/>
      <c r="M51" s="99"/>
      <c r="N51" s="14"/>
      <c r="O51" s="14"/>
      <c r="P51" s="14"/>
      <c r="Q51" s="14"/>
      <c r="R51" s="14"/>
      <c r="S51" s="10"/>
      <c r="T51" s="10"/>
      <c r="U51" s="10"/>
      <c r="V51" s="10"/>
      <c r="W51" s="10"/>
      <c r="X51" s="14"/>
      <c r="Y51" s="15"/>
      <c r="Z51" s="15"/>
      <c r="AA51" s="15"/>
      <c r="AB51" s="15"/>
      <c r="AC51" s="15"/>
      <c r="AD51" s="15"/>
      <c r="AE51" s="15"/>
      <c r="AF51" s="15"/>
      <c r="AG51" s="15"/>
      <c r="AH51" s="15"/>
      <c r="AI51" s="15"/>
      <c r="AJ51" s="15"/>
      <c r="AK51" s="15"/>
      <c r="AL51" s="15"/>
      <c r="AM51" s="4"/>
      <c r="AN51" s="4"/>
      <c r="AO51" s="4"/>
      <c r="AP51" s="15"/>
      <c r="AQ51" s="4"/>
      <c r="AR51" s="4"/>
      <c r="AS51" s="4"/>
      <c r="AT51" s="5"/>
      <c r="AU51" s="5"/>
      <c r="AV51" s="5"/>
      <c r="AW51" s="5"/>
      <c r="AX51" s="5"/>
      <c r="AY51" s="5"/>
      <c r="AZ51" s="5"/>
      <c r="BA51" s="5"/>
      <c r="BB51" s="5"/>
      <c r="BC51" s="5"/>
      <c r="BD51" s="5"/>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row>
    <row r="52" ht="15.75" customHeight="1">
      <c r="A52" s="98"/>
      <c r="B52" s="98"/>
      <c r="C52" s="98"/>
      <c r="D52" s="98"/>
      <c r="E52" s="98"/>
      <c r="F52" s="98"/>
      <c r="G52" s="98"/>
      <c r="H52" s="98"/>
      <c r="I52" s="99"/>
      <c r="J52" s="99"/>
      <c r="K52" s="99"/>
      <c r="L52" s="99"/>
      <c r="M52" s="99"/>
      <c r="N52" s="14"/>
      <c r="O52" s="14"/>
      <c r="P52" s="14"/>
      <c r="Q52" s="14"/>
      <c r="R52" s="14"/>
      <c r="S52" s="10"/>
      <c r="T52" s="10"/>
      <c r="U52" s="10"/>
      <c r="V52" s="10"/>
      <c r="W52" s="10"/>
      <c r="X52" s="14"/>
      <c r="Y52" s="15"/>
      <c r="Z52" s="15"/>
      <c r="AA52" s="15"/>
      <c r="AB52" s="15"/>
      <c r="AC52" s="15"/>
      <c r="AD52" s="15"/>
      <c r="AE52" s="15"/>
      <c r="AF52" s="15"/>
      <c r="AG52" s="15"/>
      <c r="AH52" s="15"/>
      <c r="AI52" s="15"/>
      <c r="AJ52" s="15"/>
      <c r="AK52" s="15"/>
      <c r="AL52" s="15"/>
      <c r="AM52" s="4"/>
      <c r="AN52" s="4"/>
      <c r="AO52" s="4"/>
      <c r="AP52" s="15"/>
      <c r="AQ52" s="4"/>
      <c r="AR52" s="4"/>
      <c r="AS52" s="4"/>
      <c r="AT52" s="5"/>
      <c r="AU52" s="5"/>
      <c r="AV52" s="5"/>
      <c r="AW52" s="5"/>
      <c r="AX52" s="5"/>
      <c r="AY52" s="5"/>
      <c r="AZ52" s="5"/>
      <c r="BA52" s="5"/>
      <c r="BB52" s="5"/>
      <c r="BC52" s="5"/>
      <c r="BD52" s="5"/>
      <c r="BE52" s="98"/>
      <c r="BF52" s="98"/>
      <c r="BG52" s="98"/>
      <c r="BH52" s="98"/>
      <c r="BI52" s="98"/>
      <c r="BJ52" s="98"/>
      <c r="BK52" s="98"/>
      <c r="BL52" s="98"/>
      <c r="BM52" s="98"/>
      <c r="BN52" s="98"/>
      <c r="BO52" s="98"/>
      <c r="BP52" s="98"/>
      <c r="BQ52" s="98"/>
      <c r="BR52" s="98"/>
      <c r="BS52" s="98"/>
      <c r="BT52" s="98"/>
      <c r="BU52" s="98"/>
      <c r="BV52" s="98"/>
      <c r="BW52" s="98"/>
      <c r="BX52" s="98"/>
      <c r="BY52" s="98"/>
      <c r="BZ52" s="98"/>
      <c r="CA52" s="98"/>
      <c r="CB52" s="98"/>
      <c r="CC52" s="98"/>
    </row>
    <row r="53" ht="15.75" customHeight="1">
      <c r="A53" s="98"/>
      <c r="B53" s="98"/>
      <c r="C53" s="98"/>
      <c r="D53" s="98"/>
      <c r="E53" s="98"/>
      <c r="F53" s="98"/>
      <c r="G53" s="98"/>
      <c r="H53" s="98"/>
      <c r="I53" s="99"/>
      <c r="J53" s="99"/>
      <c r="K53" s="99"/>
      <c r="L53" s="99"/>
      <c r="M53" s="99"/>
      <c r="N53" s="14"/>
      <c r="O53" s="14"/>
      <c r="P53" s="14"/>
      <c r="Q53" s="14"/>
      <c r="R53" s="14"/>
      <c r="S53" s="10"/>
      <c r="T53" s="10"/>
      <c r="U53" s="10"/>
      <c r="V53" s="10"/>
      <c r="W53" s="10"/>
      <c r="X53" s="14"/>
      <c r="Y53" s="15"/>
      <c r="Z53" s="15"/>
      <c r="AA53" s="15"/>
      <c r="AB53" s="15"/>
      <c r="AC53" s="15"/>
      <c r="AD53" s="15"/>
      <c r="AE53" s="15"/>
      <c r="AF53" s="15"/>
      <c r="AG53" s="15"/>
      <c r="AH53" s="15"/>
      <c r="AI53" s="15"/>
      <c r="AJ53" s="15"/>
      <c r="AK53" s="15"/>
      <c r="AL53" s="15"/>
      <c r="AM53" s="4"/>
      <c r="AN53" s="4"/>
      <c r="AO53" s="4"/>
      <c r="AP53" s="15"/>
      <c r="AQ53" s="4"/>
      <c r="AR53" s="4"/>
      <c r="AS53" s="4"/>
      <c r="AT53" s="5"/>
      <c r="AU53" s="5"/>
      <c r="AV53" s="5"/>
      <c r="AW53" s="5"/>
      <c r="AX53" s="5"/>
      <c r="AY53" s="5"/>
      <c r="AZ53" s="5"/>
      <c r="BA53" s="5"/>
      <c r="BB53" s="5"/>
      <c r="BC53" s="5"/>
      <c r="BD53" s="5"/>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row>
    <row r="54" ht="15.75" customHeight="1">
      <c r="A54" s="98"/>
      <c r="B54" s="98"/>
      <c r="C54" s="98"/>
      <c r="D54" s="98"/>
      <c r="E54" s="98"/>
      <c r="F54" s="98"/>
      <c r="G54" s="98"/>
      <c r="H54" s="98"/>
      <c r="I54" s="99"/>
      <c r="J54" s="99"/>
      <c r="K54" s="99"/>
      <c r="L54" s="99"/>
      <c r="M54" s="99"/>
      <c r="N54" s="14"/>
      <c r="O54" s="14"/>
      <c r="P54" s="14"/>
      <c r="Q54" s="14"/>
      <c r="R54" s="14"/>
      <c r="S54" s="10"/>
      <c r="T54" s="10"/>
      <c r="U54" s="10"/>
      <c r="V54" s="10"/>
      <c r="W54" s="10"/>
      <c r="X54" s="14"/>
      <c r="Y54" s="15"/>
      <c r="Z54" s="15"/>
      <c r="AA54" s="15"/>
      <c r="AB54" s="15"/>
      <c r="AC54" s="15"/>
      <c r="AD54" s="15"/>
      <c r="AE54" s="15"/>
      <c r="AF54" s="15"/>
      <c r="AG54" s="15"/>
      <c r="AH54" s="15"/>
      <c r="AI54" s="15"/>
      <c r="AJ54" s="15"/>
      <c r="AK54" s="15"/>
      <c r="AL54" s="15"/>
      <c r="AM54" s="4"/>
      <c r="AN54" s="4"/>
      <c r="AO54" s="4"/>
      <c r="AP54" s="15"/>
      <c r="AQ54" s="4"/>
      <c r="AR54" s="4"/>
      <c r="AS54" s="4"/>
      <c r="AT54" s="5"/>
      <c r="AU54" s="5"/>
      <c r="AV54" s="5"/>
      <c r="AW54" s="5"/>
      <c r="AX54" s="5"/>
      <c r="AY54" s="5"/>
      <c r="AZ54" s="5"/>
      <c r="BA54" s="5"/>
      <c r="BB54" s="5"/>
      <c r="BC54" s="5"/>
      <c r="BD54" s="5"/>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row>
    <row r="55" ht="15.75" customHeight="1">
      <c r="A55" s="98"/>
      <c r="B55" s="98"/>
      <c r="C55" s="98"/>
      <c r="D55" s="98"/>
      <c r="E55" s="98"/>
      <c r="F55" s="98"/>
      <c r="G55" s="98"/>
      <c r="H55" s="98"/>
      <c r="I55" s="99"/>
      <c r="J55" s="99"/>
      <c r="K55" s="99"/>
      <c r="L55" s="99"/>
      <c r="M55" s="99"/>
      <c r="N55" s="14"/>
      <c r="O55" s="14"/>
      <c r="P55" s="14"/>
      <c r="Q55" s="14"/>
      <c r="R55" s="14"/>
      <c r="S55" s="10"/>
      <c r="T55" s="10"/>
      <c r="U55" s="10"/>
      <c r="V55" s="10"/>
      <c r="W55" s="10"/>
      <c r="X55" s="14"/>
      <c r="Y55" s="15"/>
      <c r="Z55" s="15"/>
      <c r="AA55" s="15"/>
      <c r="AB55" s="15"/>
      <c r="AC55" s="15"/>
      <c r="AD55" s="15"/>
      <c r="AE55" s="15"/>
      <c r="AF55" s="15"/>
      <c r="AG55" s="15"/>
      <c r="AH55" s="15"/>
      <c r="AI55" s="15"/>
      <c r="AJ55" s="15"/>
      <c r="AK55" s="15"/>
      <c r="AL55" s="15"/>
      <c r="AM55" s="4"/>
      <c r="AN55" s="4"/>
      <c r="AO55" s="4"/>
      <c r="AP55" s="15"/>
      <c r="AQ55" s="4"/>
      <c r="AR55" s="4"/>
      <c r="AS55" s="4"/>
      <c r="AT55" s="5"/>
      <c r="AU55" s="5"/>
      <c r="AV55" s="5"/>
      <c r="AW55" s="5"/>
      <c r="AX55" s="5"/>
      <c r="AY55" s="5"/>
      <c r="AZ55" s="5"/>
      <c r="BA55" s="5"/>
      <c r="BB55" s="5"/>
      <c r="BC55" s="5"/>
      <c r="BD55" s="5"/>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row>
    <row r="56" ht="15.75" customHeight="1">
      <c r="A56" s="98"/>
      <c r="B56" s="98"/>
      <c r="C56" s="98"/>
      <c r="D56" s="98"/>
      <c r="E56" s="98"/>
      <c r="F56" s="98"/>
      <c r="G56" s="98"/>
      <c r="H56" s="98"/>
      <c r="I56" s="99"/>
      <c r="J56" s="99"/>
      <c r="K56" s="99"/>
      <c r="L56" s="99"/>
      <c r="M56" s="99"/>
      <c r="N56" s="14"/>
      <c r="O56" s="14"/>
      <c r="P56" s="14"/>
      <c r="Q56" s="14"/>
      <c r="R56" s="14"/>
      <c r="S56" s="10"/>
      <c r="T56" s="10"/>
      <c r="U56" s="10"/>
      <c r="V56" s="10"/>
      <c r="W56" s="10"/>
      <c r="X56" s="14"/>
      <c r="Y56" s="15"/>
      <c r="Z56" s="15"/>
      <c r="AA56" s="15"/>
      <c r="AB56" s="15"/>
      <c r="AC56" s="15"/>
      <c r="AD56" s="15"/>
      <c r="AE56" s="15"/>
      <c r="AF56" s="15"/>
      <c r="AG56" s="15"/>
      <c r="AH56" s="15"/>
      <c r="AI56" s="15"/>
      <c r="AJ56" s="15"/>
      <c r="AK56" s="15"/>
      <c r="AL56" s="15"/>
      <c r="AM56" s="4"/>
      <c r="AN56" s="4"/>
      <c r="AO56" s="4"/>
      <c r="AP56" s="15"/>
      <c r="AQ56" s="4"/>
      <c r="AR56" s="4"/>
      <c r="AS56" s="4"/>
      <c r="AT56" s="5"/>
      <c r="AU56" s="5"/>
      <c r="AV56" s="5"/>
      <c r="AW56" s="5"/>
      <c r="AX56" s="5"/>
      <c r="AY56" s="5"/>
      <c r="AZ56" s="5"/>
      <c r="BA56" s="5"/>
      <c r="BB56" s="5"/>
      <c r="BC56" s="5"/>
      <c r="BD56" s="5"/>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row>
    <row r="57" ht="15.75" customHeight="1">
      <c r="A57" s="98"/>
      <c r="B57" s="98"/>
      <c r="C57" s="98"/>
      <c r="D57" s="98"/>
      <c r="E57" s="98"/>
      <c r="F57" s="98"/>
      <c r="G57" s="98"/>
      <c r="H57" s="98"/>
      <c r="I57" s="99"/>
      <c r="J57" s="99"/>
      <c r="K57" s="99"/>
      <c r="L57" s="99"/>
      <c r="M57" s="99"/>
      <c r="N57" s="14"/>
      <c r="O57" s="14"/>
      <c r="P57" s="14"/>
      <c r="Q57" s="14"/>
      <c r="R57" s="14"/>
      <c r="S57" s="10"/>
      <c r="T57" s="10"/>
      <c r="U57" s="10"/>
      <c r="V57" s="10"/>
      <c r="W57" s="10"/>
      <c r="X57" s="14"/>
      <c r="Y57" s="15"/>
      <c r="Z57" s="15"/>
      <c r="AA57" s="15"/>
      <c r="AB57" s="15"/>
      <c r="AC57" s="15"/>
      <c r="AD57" s="15"/>
      <c r="AE57" s="15"/>
      <c r="AF57" s="15"/>
      <c r="AG57" s="15"/>
      <c r="AH57" s="15"/>
      <c r="AI57" s="15"/>
      <c r="AJ57" s="15"/>
      <c r="AK57" s="15"/>
      <c r="AL57" s="15"/>
      <c r="AM57" s="4"/>
      <c r="AN57" s="4"/>
      <c r="AO57" s="4"/>
      <c r="AP57" s="15"/>
      <c r="AQ57" s="4"/>
      <c r="AR57" s="4"/>
      <c r="AS57" s="4"/>
      <c r="AT57" s="5"/>
      <c r="AU57" s="5"/>
      <c r="AV57" s="5"/>
      <c r="AW57" s="5"/>
      <c r="AX57" s="5"/>
      <c r="AY57" s="5"/>
      <c r="AZ57" s="5"/>
      <c r="BA57" s="5"/>
      <c r="BB57" s="5"/>
      <c r="BC57" s="5"/>
      <c r="BD57" s="5"/>
      <c r="BE57" s="98"/>
      <c r="BF57" s="98"/>
      <c r="BG57" s="98"/>
      <c r="BH57" s="98"/>
      <c r="BI57" s="98"/>
      <c r="BJ57" s="98"/>
      <c r="BK57" s="98"/>
      <c r="BL57" s="98"/>
      <c r="BM57" s="98"/>
      <c r="BN57" s="98"/>
      <c r="BO57" s="98"/>
      <c r="BP57" s="98"/>
      <c r="BQ57" s="98"/>
      <c r="BR57" s="98"/>
      <c r="BS57" s="98"/>
      <c r="BT57" s="98"/>
      <c r="BU57" s="98"/>
      <c r="BV57" s="98"/>
      <c r="BW57" s="98"/>
      <c r="BX57" s="98"/>
      <c r="BY57" s="98"/>
      <c r="BZ57" s="98"/>
      <c r="CA57" s="98"/>
      <c r="CB57" s="98"/>
      <c r="CC57" s="98"/>
    </row>
    <row r="58" ht="15.75" customHeight="1">
      <c r="A58" s="98"/>
      <c r="B58" s="98"/>
      <c r="C58" s="98"/>
      <c r="D58" s="98"/>
      <c r="E58" s="98"/>
      <c r="F58" s="98"/>
      <c r="G58" s="98"/>
      <c r="H58" s="98"/>
      <c r="I58" s="99"/>
      <c r="J58" s="99"/>
      <c r="K58" s="99"/>
      <c r="L58" s="99"/>
      <c r="M58" s="99"/>
      <c r="N58" s="14"/>
      <c r="O58" s="14"/>
      <c r="P58" s="14"/>
      <c r="Q58" s="14"/>
      <c r="R58" s="14"/>
      <c r="S58" s="10"/>
      <c r="T58" s="10"/>
      <c r="U58" s="10"/>
      <c r="V58" s="10"/>
      <c r="W58" s="10"/>
      <c r="X58" s="14"/>
      <c r="Y58" s="15"/>
      <c r="Z58" s="15"/>
      <c r="AA58" s="15"/>
      <c r="AB58" s="15"/>
      <c r="AC58" s="15"/>
      <c r="AD58" s="15"/>
      <c r="AE58" s="15"/>
      <c r="AF58" s="15"/>
      <c r="AG58" s="15"/>
      <c r="AH58" s="15"/>
      <c r="AI58" s="15"/>
      <c r="AJ58" s="15"/>
      <c r="AK58" s="15"/>
      <c r="AL58" s="15"/>
      <c r="AM58" s="4"/>
      <c r="AN58" s="4"/>
      <c r="AO58" s="4"/>
      <c r="AP58" s="15"/>
      <c r="AQ58" s="4"/>
      <c r="AR58" s="4"/>
      <c r="AS58" s="4"/>
      <c r="AT58" s="5"/>
      <c r="AU58" s="5"/>
      <c r="AV58" s="5"/>
      <c r="AW58" s="5"/>
      <c r="AX58" s="5"/>
      <c r="AY58" s="5"/>
      <c r="AZ58" s="5"/>
      <c r="BA58" s="5"/>
      <c r="BB58" s="5"/>
      <c r="BC58" s="5"/>
      <c r="BD58" s="5"/>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row>
    <row r="59" ht="15.75" customHeight="1">
      <c r="A59" s="98"/>
      <c r="B59" s="98"/>
      <c r="C59" s="98"/>
      <c r="D59" s="98"/>
      <c r="E59" s="98"/>
      <c r="F59" s="98"/>
      <c r="G59" s="98"/>
      <c r="H59" s="98"/>
      <c r="I59" s="99"/>
      <c r="J59" s="99"/>
      <c r="K59" s="99"/>
      <c r="L59" s="99"/>
      <c r="M59" s="99"/>
      <c r="N59" s="14"/>
      <c r="O59" s="14"/>
      <c r="P59" s="14"/>
      <c r="Q59" s="14"/>
      <c r="R59" s="14"/>
      <c r="S59" s="10"/>
      <c r="T59" s="10"/>
      <c r="U59" s="10"/>
      <c r="V59" s="10"/>
      <c r="W59" s="10"/>
      <c r="X59" s="14"/>
      <c r="Y59" s="15"/>
      <c r="Z59" s="15"/>
      <c r="AA59" s="15"/>
      <c r="AB59" s="15"/>
      <c r="AC59" s="15"/>
      <c r="AD59" s="15"/>
      <c r="AE59" s="15"/>
      <c r="AF59" s="15"/>
      <c r="AG59" s="15"/>
      <c r="AH59" s="15"/>
      <c r="AI59" s="15"/>
      <c r="AJ59" s="15"/>
      <c r="AK59" s="15"/>
      <c r="AL59" s="15"/>
      <c r="AM59" s="4"/>
      <c r="AN59" s="4"/>
      <c r="AO59" s="4"/>
      <c r="AP59" s="15"/>
      <c r="AQ59" s="4"/>
      <c r="AR59" s="4"/>
      <c r="AS59" s="4"/>
      <c r="AT59" s="5"/>
      <c r="AU59" s="5"/>
      <c r="AV59" s="5"/>
      <c r="AW59" s="5"/>
      <c r="AX59" s="5"/>
      <c r="AY59" s="5"/>
      <c r="AZ59" s="5"/>
      <c r="BA59" s="5"/>
      <c r="BB59" s="5"/>
      <c r="BC59" s="5"/>
      <c r="BD59" s="5"/>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row>
    <row r="60" ht="15.75" customHeight="1">
      <c r="A60" s="98"/>
      <c r="B60" s="98"/>
      <c r="C60" s="98"/>
      <c r="D60" s="98"/>
      <c r="E60" s="98"/>
      <c r="F60" s="98"/>
      <c r="G60" s="98"/>
      <c r="H60" s="98"/>
      <c r="I60" s="99"/>
      <c r="J60" s="99"/>
      <c r="K60" s="99"/>
      <c r="L60" s="99"/>
      <c r="M60" s="99"/>
      <c r="N60" s="14"/>
      <c r="O60" s="14"/>
      <c r="P60" s="14"/>
      <c r="Q60" s="14"/>
      <c r="R60" s="14"/>
      <c r="S60" s="10"/>
      <c r="T60" s="10"/>
      <c r="U60" s="10"/>
      <c r="V60" s="10"/>
      <c r="W60" s="10"/>
      <c r="X60" s="14"/>
      <c r="Y60" s="15"/>
      <c r="Z60" s="15"/>
      <c r="AA60" s="15"/>
      <c r="AB60" s="15"/>
      <c r="AC60" s="15"/>
      <c r="AD60" s="15"/>
      <c r="AE60" s="15"/>
      <c r="AF60" s="15"/>
      <c r="AG60" s="15"/>
      <c r="AH60" s="15"/>
      <c r="AI60" s="15"/>
      <c r="AJ60" s="15"/>
      <c r="AK60" s="15"/>
      <c r="AL60" s="15"/>
      <c r="AM60" s="4"/>
      <c r="AN60" s="4"/>
      <c r="AO60" s="4"/>
      <c r="AP60" s="15"/>
      <c r="AQ60" s="4"/>
      <c r="AR60" s="4"/>
      <c r="AS60" s="4"/>
      <c r="AT60" s="5"/>
      <c r="AU60" s="5"/>
      <c r="AV60" s="5"/>
      <c r="AW60" s="5"/>
      <c r="AX60" s="5"/>
      <c r="AY60" s="5"/>
      <c r="AZ60" s="5"/>
      <c r="BA60" s="5"/>
      <c r="BB60" s="5"/>
      <c r="BC60" s="5"/>
      <c r="BD60" s="5"/>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row>
    <row r="61" ht="15.75" customHeight="1">
      <c r="A61" s="98"/>
      <c r="B61" s="98"/>
      <c r="C61" s="98"/>
      <c r="D61" s="98"/>
      <c r="E61" s="98"/>
      <c r="F61" s="98"/>
      <c r="G61" s="98"/>
      <c r="H61" s="98"/>
      <c r="I61" s="99"/>
      <c r="J61" s="99"/>
      <c r="K61" s="99"/>
      <c r="L61" s="99"/>
      <c r="M61" s="99"/>
      <c r="N61" s="14"/>
      <c r="O61" s="14"/>
      <c r="P61" s="14"/>
      <c r="Q61" s="14"/>
      <c r="R61" s="14"/>
      <c r="S61" s="10"/>
      <c r="T61" s="10"/>
      <c r="U61" s="10"/>
      <c r="V61" s="10"/>
      <c r="W61" s="10"/>
      <c r="X61" s="14"/>
      <c r="Y61" s="15"/>
      <c r="Z61" s="15"/>
      <c r="AA61" s="15"/>
      <c r="AB61" s="15"/>
      <c r="AC61" s="15"/>
      <c r="AD61" s="15"/>
      <c r="AE61" s="15"/>
      <c r="AF61" s="15"/>
      <c r="AG61" s="15"/>
      <c r="AH61" s="15"/>
      <c r="AI61" s="15"/>
      <c r="AJ61" s="15"/>
      <c r="AK61" s="15"/>
      <c r="AL61" s="15"/>
      <c r="AM61" s="4"/>
      <c r="AN61" s="4"/>
      <c r="AO61" s="4"/>
      <c r="AP61" s="15"/>
      <c r="AQ61" s="4"/>
      <c r="AR61" s="4"/>
      <c r="AS61" s="4"/>
      <c r="AT61" s="5"/>
      <c r="AU61" s="5"/>
      <c r="AV61" s="5"/>
      <c r="AW61" s="5"/>
      <c r="AX61" s="5"/>
      <c r="AY61" s="5"/>
      <c r="AZ61" s="5"/>
      <c r="BA61" s="5"/>
      <c r="BB61" s="5"/>
      <c r="BC61" s="5"/>
      <c r="BD61" s="5"/>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row>
    <row r="62" ht="15.75" customHeight="1">
      <c r="A62" s="98"/>
      <c r="B62" s="98"/>
      <c r="C62" s="98"/>
      <c r="D62" s="98"/>
      <c r="E62" s="98"/>
      <c r="F62" s="98"/>
      <c r="G62" s="98"/>
      <c r="H62" s="98"/>
      <c r="I62" s="99"/>
      <c r="J62" s="99"/>
      <c r="K62" s="99"/>
      <c r="L62" s="99"/>
      <c r="M62" s="99"/>
      <c r="N62" s="14"/>
      <c r="O62" s="14"/>
      <c r="P62" s="14"/>
      <c r="Q62" s="14"/>
      <c r="R62" s="14"/>
      <c r="S62" s="10"/>
      <c r="T62" s="10"/>
      <c r="U62" s="10"/>
      <c r="V62" s="10"/>
      <c r="W62" s="10"/>
      <c r="X62" s="14"/>
      <c r="Y62" s="15"/>
      <c r="Z62" s="15"/>
      <c r="AA62" s="15"/>
      <c r="AB62" s="15"/>
      <c r="AC62" s="15"/>
      <c r="AD62" s="15"/>
      <c r="AE62" s="15"/>
      <c r="AF62" s="15"/>
      <c r="AG62" s="15"/>
      <c r="AH62" s="15"/>
      <c r="AI62" s="15"/>
      <c r="AJ62" s="15"/>
      <c r="AK62" s="15"/>
      <c r="AL62" s="15"/>
      <c r="AM62" s="4"/>
      <c r="AN62" s="4"/>
      <c r="AO62" s="4"/>
      <c r="AP62" s="15"/>
      <c r="AQ62" s="4"/>
      <c r="AR62" s="4"/>
      <c r="AS62" s="4"/>
      <c r="AT62" s="5"/>
      <c r="AU62" s="5"/>
      <c r="AV62" s="5"/>
      <c r="AW62" s="5"/>
      <c r="AX62" s="5"/>
      <c r="AY62" s="5"/>
      <c r="AZ62" s="5"/>
      <c r="BA62" s="5"/>
      <c r="BB62" s="5"/>
      <c r="BC62" s="5"/>
      <c r="BD62" s="5"/>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row>
    <row r="63" ht="15.75" customHeight="1">
      <c r="A63" s="98"/>
      <c r="B63" s="98"/>
      <c r="C63" s="98"/>
      <c r="D63" s="98"/>
      <c r="E63" s="98"/>
      <c r="F63" s="98"/>
      <c r="G63" s="98"/>
      <c r="H63" s="98"/>
      <c r="I63" s="99"/>
      <c r="J63" s="99"/>
      <c r="K63" s="99"/>
      <c r="L63" s="99"/>
      <c r="M63" s="99"/>
      <c r="N63" s="14"/>
      <c r="O63" s="14"/>
      <c r="P63" s="14"/>
      <c r="Q63" s="14"/>
      <c r="R63" s="14"/>
      <c r="S63" s="10"/>
      <c r="T63" s="10"/>
      <c r="U63" s="10"/>
      <c r="V63" s="10"/>
      <c r="W63" s="10"/>
      <c r="X63" s="14"/>
      <c r="Y63" s="15"/>
      <c r="Z63" s="15"/>
      <c r="AA63" s="15"/>
      <c r="AB63" s="15"/>
      <c r="AC63" s="15"/>
      <c r="AD63" s="15"/>
      <c r="AE63" s="15"/>
      <c r="AF63" s="15"/>
      <c r="AG63" s="15"/>
      <c r="AH63" s="15"/>
      <c r="AI63" s="15"/>
      <c r="AJ63" s="15"/>
      <c r="AK63" s="15"/>
      <c r="AL63" s="15"/>
      <c r="AM63" s="4"/>
      <c r="AN63" s="4"/>
      <c r="AO63" s="4"/>
      <c r="AP63" s="15"/>
      <c r="AQ63" s="4"/>
      <c r="AR63" s="4"/>
      <c r="AS63" s="4"/>
      <c r="AT63" s="5"/>
      <c r="AU63" s="5"/>
      <c r="AV63" s="5"/>
      <c r="AW63" s="5"/>
      <c r="AX63" s="5"/>
      <c r="AY63" s="5"/>
      <c r="AZ63" s="5"/>
      <c r="BA63" s="5"/>
      <c r="BB63" s="5"/>
      <c r="BC63" s="5"/>
      <c r="BD63" s="5"/>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row>
    <row r="64" ht="15.75" customHeight="1">
      <c r="A64" s="98"/>
      <c r="B64" s="98"/>
      <c r="C64" s="98"/>
      <c r="D64" s="98"/>
      <c r="E64" s="98"/>
      <c r="F64" s="98"/>
      <c r="G64" s="98"/>
      <c r="H64" s="98"/>
      <c r="I64" s="99"/>
      <c r="J64" s="99"/>
      <c r="K64" s="99"/>
      <c r="L64" s="99"/>
      <c r="M64" s="99"/>
      <c r="N64" s="14"/>
      <c r="O64" s="14"/>
      <c r="P64" s="14"/>
      <c r="Q64" s="14"/>
      <c r="R64" s="14"/>
      <c r="S64" s="10"/>
      <c r="T64" s="10"/>
      <c r="U64" s="10"/>
      <c r="V64" s="10"/>
      <c r="W64" s="10"/>
      <c r="X64" s="14"/>
      <c r="Y64" s="15"/>
      <c r="Z64" s="15"/>
      <c r="AA64" s="15"/>
      <c r="AB64" s="15"/>
      <c r="AC64" s="15"/>
      <c r="AD64" s="15"/>
      <c r="AE64" s="15"/>
      <c r="AF64" s="15"/>
      <c r="AG64" s="15"/>
      <c r="AH64" s="15"/>
      <c r="AI64" s="15"/>
      <c r="AJ64" s="15"/>
      <c r="AK64" s="15"/>
      <c r="AL64" s="15"/>
      <c r="AM64" s="4"/>
      <c r="AN64" s="4"/>
      <c r="AO64" s="4"/>
      <c r="AP64" s="15"/>
      <c r="AQ64" s="4"/>
      <c r="AR64" s="4"/>
      <c r="AS64" s="4"/>
      <c r="AT64" s="5"/>
      <c r="AU64" s="5"/>
      <c r="AV64" s="5"/>
      <c r="AW64" s="5"/>
      <c r="AX64" s="5"/>
      <c r="AY64" s="5"/>
      <c r="AZ64" s="5"/>
      <c r="BA64" s="5"/>
      <c r="BB64" s="5"/>
      <c r="BC64" s="5"/>
      <c r="BD64" s="5"/>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row>
    <row r="65" ht="15.75" customHeight="1">
      <c r="A65" s="98"/>
      <c r="B65" s="98"/>
      <c r="C65" s="98"/>
      <c r="D65" s="98"/>
      <c r="E65" s="98"/>
      <c r="F65" s="98"/>
      <c r="G65" s="98"/>
      <c r="H65" s="98"/>
      <c r="I65" s="99"/>
      <c r="J65" s="99"/>
      <c r="K65" s="99"/>
      <c r="L65" s="99"/>
      <c r="M65" s="99"/>
      <c r="N65" s="14"/>
      <c r="O65" s="14"/>
      <c r="P65" s="14"/>
      <c r="Q65" s="14"/>
      <c r="R65" s="14"/>
      <c r="S65" s="10"/>
      <c r="T65" s="10"/>
      <c r="U65" s="10"/>
      <c r="V65" s="10"/>
      <c r="W65" s="10"/>
      <c r="X65" s="14"/>
      <c r="Y65" s="15"/>
      <c r="Z65" s="15"/>
      <c r="AA65" s="15"/>
      <c r="AB65" s="15"/>
      <c r="AC65" s="15"/>
      <c r="AD65" s="15"/>
      <c r="AE65" s="15"/>
      <c r="AF65" s="15"/>
      <c r="AG65" s="15"/>
      <c r="AH65" s="15"/>
      <c r="AI65" s="15"/>
      <c r="AJ65" s="15"/>
      <c r="AK65" s="15"/>
      <c r="AL65" s="15"/>
      <c r="AM65" s="4"/>
      <c r="AN65" s="4"/>
      <c r="AO65" s="4"/>
      <c r="AP65" s="15"/>
      <c r="AQ65" s="4"/>
      <c r="AR65" s="4"/>
      <c r="AS65" s="4"/>
      <c r="AT65" s="5"/>
      <c r="AU65" s="5"/>
      <c r="AV65" s="5"/>
      <c r="AW65" s="5"/>
      <c r="AX65" s="5"/>
      <c r="AY65" s="5"/>
      <c r="AZ65" s="5"/>
      <c r="BA65" s="5"/>
      <c r="BB65" s="5"/>
      <c r="BC65" s="5"/>
      <c r="BD65" s="5"/>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row>
    <row r="66" ht="15.75" customHeight="1">
      <c r="A66" s="98"/>
      <c r="B66" s="98"/>
      <c r="C66" s="98"/>
      <c r="D66" s="98"/>
      <c r="E66" s="98"/>
      <c r="F66" s="98"/>
      <c r="G66" s="98"/>
      <c r="H66" s="98"/>
      <c r="I66" s="99"/>
      <c r="J66" s="99"/>
      <c r="K66" s="99"/>
      <c r="L66" s="99"/>
      <c r="M66" s="99"/>
      <c r="N66" s="14"/>
      <c r="O66" s="14"/>
      <c r="P66" s="14"/>
      <c r="Q66" s="14"/>
      <c r="R66" s="14"/>
      <c r="S66" s="10"/>
      <c r="T66" s="10"/>
      <c r="U66" s="10"/>
      <c r="V66" s="10"/>
      <c r="W66" s="10"/>
      <c r="X66" s="14"/>
      <c r="Y66" s="15"/>
      <c r="Z66" s="15"/>
      <c r="AA66" s="15"/>
      <c r="AB66" s="15"/>
      <c r="AC66" s="15"/>
      <c r="AD66" s="15"/>
      <c r="AE66" s="15"/>
      <c r="AF66" s="15"/>
      <c r="AG66" s="15"/>
      <c r="AH66" s="15"/>
      <c r="AI66" s="15"/>
      <c r="AJ66" s="15"/>
      <c r="AK66" s="15"/>
      <c r="AL66" s="15"/>
      <c r="AM66" s="4"/>
      <c r="AN66" s="4"/>
      <c r="AO66" s="4"/>
      <c r="AP66" s="15"/>
      <c r="AQ66" s="4"/>
      <c r="AR66" s="4"/>
      <c r="AS66" s="4"/>
      <c r="AT66" s="5"/>
      <c r="AU66" s="5"/>
      <c r="AV66" s="5"/>
      <c r="AW66" s="5"/>
      <c r="AX66" s="5"/>
      <c r="AY66" s="5"/>
      <c r="AZ66" s="5"/>
      <c r="BA66" s="5"/>
      <c r="BB66" s="5"/>
      <c r="BC66" s="5"/>
      <c r="BD66" s="5"/>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row>
    <row r="67" ht="15.75" customHeight="1">
      <c r="A67" s="98"/>
      <c r="B67" s="98"/>
      <c r="C67" s="98"/>
      <c r="D67" s="98"/>
      <c r="E67" s="98"/>
      <c r="F67" s="98"/>
      <c r="G67" s="98"/>
      <c r="H67" s="98"/>
      <c r="I67" s="99"/>
      <c r="J67" s="99"/>
      <c r="K67" s="99"/>
      <c r="L67" s="99"/>
      <c r="M67" s="99"/>
      <c r="N67" s="14"/>
      <c r="O67" s="14"/>
      <c r="P67" s="14"/>
      <c r="Q67" s="14"/>
      <c r="R67" s="14"/>
      <c r="S67" s="10"/>
      <c r="T67" s="10"/>
      <c r="U67" s="10"/>
      <c r="V67" s="10"/>
      <c r="W67" s="10"/>
      <c r="X67" s="14"/>
      <c r="Y67" s="15"/>
      <c r="Z67" s="15"/>
      <c r="AA67" s="15"/>
      <c r="AB67" s="15"/>
      <c r="AC67" s="15"/>
      <c r="AD67" s="15"/>
      <c r="AE67" s="15"/>
      <c r="AF67" s="15"/>
      <c r="AG67" s="15"/>
      <c r="AH67" s="15"/>
      <c r="AI67" s="15"/>
      <c r="AJ67" s="15"/>
      <c r="AK67" s="15"/>
      <c r="AL67" s="15"/>
      <c r="AM67" s="4"/>
      <c r="AN67" s="4"/>
      <c r="AO67" s="4"/>
      <c r="AP67" s="15"/>
      <c r="AQ67" s="4"/>
      <c r="AR67" s="4"/>
      <c r="AS67" s="4"/>
      <c r="AT67" s="5"/>
      <c r="AU67" s="5"/>
      <c r="AV67" s="5"/>
      <c r="AW67" s="5"/>
      <c r="AX67" s="5"/>
      <c r="AY67" s="5"/>
      <c r="AZ67" s="5"/>
      <c r="BA67" s="5"/>
      <c r="BB67" s="5"/>
      <c r="BC67" s="5"/>
      <c r="BD67" s="5"/>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row>
    <row r="68" ht="15.75" customHeight="1">
      <c r="A68" s="98"/>
      <c r="B68" s="98"/>
      <c r="C68" s="98"/>
      <c r="D68" s="98"/>
      <c r="E68" s="98"/>
      <c r="F68" s="98"/>
      <c r="G68" s="98"/>
      <c r="H68" s="98"/>
      <c r="I68" s="99"/>
      <c r="J68" s="99"/>
      <c r="K68" s="99"/>
      <c r="L68" s="99"/>
      <c r="M68" s="99"/>
      <c r="N68" s="14"/>
      <c r="O68" s="14"/>
      <c r="P68" s="14"/>
      <c r="Q68" s="14"/>
      <c r="R68" s="14"/>
      <c r="S68" s="10"/>
      <c r="T68" s="10"/>
      <c r="U68" s="10"/>
      <c r="V68" s="10"/>
      <c r="W68" s="10"/>
      <c r="X68" s="14"/>
      <c r="Y68" s="15"/>
      <c r="Z68" s="15"/>
      <c r="AA68" s="15"/>
      <c r="AB68" s="15"/>
      <c r="AC68" s="15"/>
      <c r="AD68" s="15"/>
      <c r="AE68" s="15"/>
      <c r="AF68" s="15"/>
      <c r="AG68" s="15"/>
      <c r="AH68" s="15"/>
      <c r="AI68" s="15"/>
      <c r="AJ68" s="15"/>
      <c r="AK68" s="15"/>
      <c r="AL68" s="15"/>
      <c r="AM68" s="4"/>
      <c r="AN68" s="4"/>
      <c r="AO68" s="4"/>
      <c r="AP68" s="15"/>
      <c r="AQ68" s="4"/>
      <c r="AR68" s="4"/>
      <c r="AS68" s="4"/>
      <c r="AT68" s="5"/>
      <c r="AU68" s="5"/>
      <c r="AV68" s="5"/>
      <c r="AW68" s="5"/>
      <c r="AX68" s="5"/>
      <c r="AY68" s="5"/>
      <c r="AZ68" s="5"/>
      <c r="BA68" s="5"/>
      <c r="BB68" s="5"/>
      <c r="BC68" s="5"/>
      <c r="BD68" s="5"/>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row>
    <row r="69" ht="15.75" customHeight="1">
      <c r="A69" s="98"/>
      <c r="B69" s="98"/>
      <c r="C69" s="98"/>
      <c r="D69" s="98"/>
      <c r="E69" s="98"/>
      <c r="F69" s="98"/>
      <c r="G69" s="98"/>
      <c r="H69" s="98"/>
      <c r="I69" s="99"/>
      <c r="J69" s="99"/>
      <c r="K69" s="99"/>
      <c r="L69" s="99"/>
      <c r="M69" s="99"/>
      <c r="N69" s="14"/>
      <c r="O69" s="14"/>
      <c r="P69" s="14"/>
      <c r="Q69" s="14"/>
      <c r="R69" s="14"/>
      <c r="S69" s="10"/>
      <c r="T69" s="10"/>
      <c r="U69" s="10"/>
      <c r="V69" s="10"/>
      <c r="W69" s="10"/>
      <c r="X69" s="14"/>
      <c r="Y69" s="15"/>
      <c r="Z69" s="15"/>
      <c r="AA69" s="15"/>
      <c r="AB69" s="15"/>
      <c r="AC69" s="15"/>
      <c r="AD69" s="15"/>
      <c r="AE69" s="15"/>
      <c r="AF69" s="15"/>
      <c r="AG69" s="15"/>
      <c r="AH69" s="15"/>
      <c r="AI69" s="15"/>
      <c r="AJ69" s="15"/>
      <c r="AK69" s="15"/>
      <c r="AL69" s="15"/>
      <c r="AM69" s="4"/>
      <c r="AN69" s="4"/>
      <c r="AO69" s="4"/>
      <c r="AP69" s="15"/>
      <c r="AQ69" s="4"/>
      <c r="AR69" s="4"/>
      <c r="AS69" s="4"/>
      <c r="AT69" s="5"/>
      <c r="AU69" s="5"/>
      <c r="AV69" s="5"/>
      <c r="AW69" s="5"/>
      <c r="AX69" s="5"/>
      <c r="AY69" s="5"/>
      <c r="AZ69" s="5"/>
      <c r="BA69" s="5"/>
      <c r="BB69" s="5"/>
      <c r="BC69" s="5"/>
      <c r="BD69" s="5"/>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row>
    <row r="70" ht="15.75" customHeight="1">
      <c r="A70" s="98"/>
      <c r="B70" s="98"/>
      <c r="C70" s="98"/>
      <c r="D70" s="98"/>
      <c r="E70" s="98"/>
      <c r="F70" s="98"/>
      <c r="G70" s="98"/>
      <c r="H70" s="98"/>
      <c r="I70" s="99"/>
      <c r="J70" s="99"/>
      <c r="K70" s="99"/>
      <c r="L70" s="99"/>
      <c r="M70" s="99"/>
      <c r="N70" s="14"/>
      <c r="O70" s="14"/>
      <c r="P70" s="14"/>
      <c r="Q70" s="14"/>
      <c r="R70" s="14"/>
      <c r="S70" s="10"/>
      <c r="T70" s="10"/>
      <c r="U70" s="10"/>
      <c r="V70" s="10"/>
      <c r="W70" s="10"/>
      <c r="X70" s="14"/>
      <c r="Y70" s="15"/>
      <c r="Z70" s="15"/>
      <c r="AA70" s="15"/>
      <c r="AB70" s="15"/>
      <c r="AC70" s="15"/>
      <c r="AD70" s="15"/>
      <c r="AE70" s="15"/>
      <c r="AF70" s="15"/>
      <c r="AG70" s="15"/>
      <c r="AH70" s="15"/>
      <c r="AI70" s="15"/>
      <c r="AJ70" s="15"/>
      <c r="AK70" s="15"/>
      <c r="AL70" s="15"/>
      <c r="AM70" s="4"/>
      <c r="AN70" s="4"/>
      <c r="AO70" s="4"/>
      <c r="AP70" s="15"/>
      <c r="AQ70" s="4"/>
      <c r="AR70" s="4"/>
      <c r="AS70" s="4"/>
      <c r="AT70" s="5"/>
      <c r="AU70" s="5"/>
      <c r="AV70" s="5"/>
      <c r="AW70" s="5"/>
      <c r="AX70" s="5"/>
      <c r="AY70" s="5"/>
      <c r="AZ70" s="5"/>
      <c r="BA70" s="5"/>
      <c r="BB70" s="5"/>
      <c r="BC70" s="5"/>
      <c r="BD70" s="5"/>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row>
    <row r="71" ht="15.75" customHeight="1">
      <c r="A71" s="98"/>
      <c r="B71" s="98"/>
      <c r="C71" s="98"/>
      <c r="D71" s="98"/>
      <c r="E71" s="98"/>
      <c r="F71" s="98"/>
      <c r="G71" s="98"/>
      <c r="H71" s="98"/>
      <c r="I71" s="99"/>
      <c r="J71" s="99"/>
      <c r="K71" s="99"/>
      <c r="L71" s="99"/>
      <c r="M71" s="99"/>
      <c r="N71" s="14"/>
      <c r="O71" s="14"/>
      <c r="P71" s="14"/>
      <c r="Q71" s="14"/>
      <c r="R71" s="14"/>
      <c r="S71" s="10"/>
      <c r="T71" s="10"/>
      <c r="U71" s="10"/>
      <c r="V71" s="10"/>
      <c r="W71" s="10"/>
      <c r="X71" s="14"/>
      <c r="Y71" s="15"/>
      <c r="Z71" s="15"/>
      <c r="AA71" s="15"/>
      <c r="AB71" s="15"/>
      <c r="AC71" s="15"/>
      <c r="AD71" s="15"/>
      <c r="AE71" s="15"/>
      <c r="AF71" s="15"/>
      <c r="AG71" s="15"/>
      <c r="AH71" s="15"/>
      <c r="AI71" s="15"/>
      <c r="AJ71" s="15"/>
      <c r="AK71" s="15"/>
      <c r="AL71" s="15"/>
      <c r="AM71" s="4"/>
      <c r="AN71" s="4"/>
      <c r="AO71" s="4"/>
      <c r="AP71" s="15"/>
      <c r="AQ71" s="4"/>
      <c r="AR71" s="4"/>
      <c r="AS71" s="4"/>
      <c r="AT71" s="5"/>
      <c r="AU71" s="5"/>
      <c r="AV71" s="5"/>
      <c r="AW71" s="5"/>
      <c r="AX71" s="5"/>
      <c r="AY71" s="5"/>
      <c r="AZ71" s="5"/>
      <c r="BA71" s="5"/>
      <c r="BB71" s="5"/>
      <c r="BC71" s="5"/>
      <c r="BD71" s="5"/>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row>
    <row r="72" ht="15.75" customHeight="1">
      <c r="A72" s="98"/>
      <c r="B72" s="98"/>
      <c r="C72" s="98"/>
      <c r="D72" s="98"/>
      <c r="E72" s="98"/>
      <c r="F72" s="98"/>
      <c r="G72" s="98"/>
      <c r="H72" s="98"/>
      <c r="I72" s="99"/>
      <c r="J72" s="99"/>
      <c r="K72" s="99"/>
      <c r="L72" s="99"/>
      <c r="M72" s="99"/>
      <c r="N72" s="14"/>
      <c r="O72" s="14"/>
      <c r="P72" s="14"/>
      <c r="Q72" s="14"/>
      <c r="R72" s="14"/>
      <c r="S72" s="10"/>
      <c r="T72" s="10"/>
      <c r="U72" s="10"/>
      <c r="V72" s="10"/>
      <c r="W72" s="10"/>
      <c r="X72" s="14"/>
      <c r="Y72" s="15"/>
      <c r="Z72" s="15"/>
      <c r="AA72" s="15"/>
      <c r="AB72" s="15"/>
      <c r="AC72" s="15"/>
      <c r="AD72" s="15"/>
      <c r="AE72" s="15"/>
      <c r="AF72" s="15"/>
      <c r="AG72" s="15"/>
      <c r="AH72" s="15"/>
      <c r="AI72" s="15"/>
      <c r="AJ72" s="15"/>
      <c r="AK72" s="15"/>
      <c r="AL72" s="15"/>
      <c r="AM72" s="4"/>
      <c r="AN72" s="4"/>
      <c r="AO72" s="4"/>
      <c r="AP72" s="15"/>
      <c r="AQ72" s="4"/>
      <c r="AR72" s="4"/>
      <c r="AS72" s="4"/>
      <c r="AT72" s="5"/>
      <c r="AU72" s="5"/>
      <c r="AV72" s="5"/>
      <c r="AW72" s="5"/>
      <c r="AX72" s="5"/>
      <c r="AY72" s="5"/>
      <c r="AZ72" s="5"/>
      <c r="BA72" s="5"/>
      <c r="BB72" s="5"/>
      <c r="BC72" s="5"/>
      <c r="BD72" s="5"/>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row>
    <row r="73" ht="15.75" customHeight="1">
      <c r="A73" s="98"/>
      <c r="B73" s="98"/>
      <c r="C73" s="98"/>
      <c r="D73" s="98"/>
      <c r="E73" s="98"/>
      <c r="F73" s="98"/>
      <c r="G73" s="98"/>
      <c r="H73" s="98"/>
      <c r="I73" s="99"/>
      <c r="J73" s="99"/>
      <c r="K73" s="99"/>
      <c r="L73" s="99"/>
      <c r="M73" s="99"/>
      <c r="N73" s="14"/>
      <c r="O73" s="14"/>
      <c r="P73" s="14"/>
      <c r="Q73" s="14"/>
      <c r="R73" s="14"/>
      <c r="S73" s="10"/>
      <c r="T73" s="10"/>
      <c r="U73" s="10"/>
      <c r="V73" s="10"/>
      <c r="W73" s="10"/>
      <c r="X73" s="14"/>
      <c r="Y73" s="15"/>
      <c r="Z73" s="15"/>
      <c r="AA73" s="15"/>
      <c r="AB73" s="15"/>
      <c r="AC73" s="15"/>
      <c r="AD73" s="15"/>
      <c r="AE73" s="15"/>
      <c r="AF73" s="15"/>
      <c r="AG73" s="15"/>
      <c r="AH73" s="15"/>
      <c r="AI73" s="15"/>
      <c r="AJ73" s="15"/>
      <c r="AK73" s="15"/>
      <c r="AL73" s="15"/>
      <c r="AM73" s="4"/>
      <c r="AN73" s="4"/>
      <c r="AO73" s="4"/>
      <c r="AP73" s="15"/>
      <c r="AQ73" s="4"/>
      <c r="AR73" s="4"/>
      <c r="AS73" s="4"/>
      <c r="AT73" s="5"/>
      <c r="AU73" s="5"/>
      <c r="AV73" s="5"/>
      <c r="AW73" s="5"/>
      <c r="AX73" s="5"/>
      <c r="AY73" s="5"/>
      <c r="AZ73" s="5"/>
      <c r="BA73" s="5"/>
      <c r="BB73" s="5"/>
      <c r="BC73" s="5"/>
      <c r="BD73" s="5"/>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row>
    <row r="74" ht="15.75" customHeight="1">
      <c r="A74" s="98"/>
      <c r="B74" s="98"/>
      <c r="C74" s="98"/>
      <c r="D74" s="98"/>
      <c r="E74" s="98"/>
      <c r="F74" s="98"/>
      <c r="G74" s="98"/>
      <c r="H74" s="98"/>
      <c r="I74" s="99"/>
      <c r="J74" s="99"/>
      <c r="K74" s="99"/>
      <c r="L74" s="99"/>
      <c r="M74" s="99"/>
      <c r="N74" s="14"/>
      <c r="O74" s="14"/>
      <c r="P74" s="14"/>
      <c r="Q74" s="14"/>
      <c r="R74" s="14"/>
      <c r="S74" s="10"/>
      <c r="T74" s="10"/>
      <c r="U74" s="10"/>
      <c r="V74" s="10"/>
      <c r="W74" s="10"/>
      <c r="X74" s="14"/>
      <c r="Y74" s="15"/>
      <c r="Z74" s="15"/>
      <c r="AA74" s="15"/>
      <c r="AB74" s="15"/>
      <c r="AC74" s="15"/>
      <c r="AD74" s="15"/>
      <c r="AE74" s="15"/>
      <c r="AF74" s="15"/>
      <c r="AG74" s="15"/>
      <c r="AH74" s="15"/>
      <c r="AI74" s="15"/>
      <c r="AJ74" s="15"/>
      <c r="AK74" s="15"/>
      <c r="AL74" s="15"/>
      <c r="AM74" s="4"/>
      <c r="AN74" s="4"/>
      <c r="AO74" s="4"/>
      <c r="AP74" s="15"/>
      <c r="AQ74" s="4"/>
      <c r="AR74" s="4"/>
      <c r="AS74" s="4"/>
      <c r="AT74" s="5"/>
      <c r="AU74" s="5"/>
      <c r="AV74" s="5"/>
      <c r="AW74" s="5"/>
      <c r="AX74" s="5"/>
      <c r="AY74" s="5"/>
      <c r="AZ74" s="5"/>
      <c r="BA74" s="5"/>
      <c r="BB74" s="5"/>
      <c r="BC74" s="5"/>
      <c r="BD74" s="5"/>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row>
    <row r="75" ht="15.75" customHeight="1">
      <c r="A75" s="98"/>
      <c r="B75" s="98"/>
      <c r="C75" s="98"/>
      <c r="D75" s="98"/>
      <c r="E75" s="98"/>
      <c r="F75" s="98"/>
      <c r="G75" s="98"/>
      <c r="H75" s="98"/>
      <c r="I75" s="99"/>
      <c r="J75" s="99"/>
      <c r="K75" s="99"/>
      <c r="L75" s="99"/>
      <c r="M75" s="99"/>
      <c r="N75" s="14"/>
      <c r="O75" s="14"/>
      <c r="P75" s="14"/>
      <c r="Q75" s="14"/>
      <c r="R75" s="14"/>
      <c r="S75" s="10"/>
      <c r="T75" s="10"/>
      <c r="U75" s="10"/>
      <c r="V75" s="10"/>
      <c r="W75" s="10"/>
      <c r="X75" s="14"/>
      <c r="Y75" s="15"/>
      <c r="Z75" s="15"/>
      <c r="AA75" s="15"/>
      <c r="AB75" s="15"/>
      <c r="AC75" s="15"/>
      <c r="AD75" s="15"/>
      <c r="AE75" s="15"/>
      <c r="AF75" s="15"/>
      <c r="AG75" s="15"/>
      <c r="AH75" s="15"/>
      <c r="AI75" s="15"/>
      <c r="AJ75" s="15"/>
      <c r="AK75" s="15"/>
      <c r="AL75" s="15"/>
      <c r="AM75" s="4"/>
      <c r="AN75" s="4"/>
      <c r="AO75" s="4"/>
      <c r="AP75" s="15"/>
      <c r="AQ75" s="4"/>
      <c r="AR75" s="4"/>
      <c r="AS75" s="4"/>
      <c r="AT75" s="5"/>
      <c r="AU75" s="5"/>
      <c r="AV75" s="5"/>
      <c r="AW75" s="5"/>
      <c r="AX75" s="5"/>
      <c r="AY75" s="5"/>
      <c r="AZ75" s="5"/>
      <c r="BA75" s="5"/>
      <c r="BB75" s="5"/>
      <c r="BC75" s="5"/>
      <c r="BD75" s="5"/>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row>
    <row r="76" ht="15.75" customHeight="1">
      <c r="A76" s="98"/>
      <c r="B76" s="98"/>
      <c r="C76" s="98"/>
      <c r="D76" s="98"/>
      <c r="E76" s="98"/>
      <c r="F76" s="98"/>
      <c r="G76" s="98"/>
      <c r="H76" s="98"/>
      <c r="I76" s="99"/>
      <c r="J76" s="99"/>
      <c r="K76" s="99"/>
      <c r="L76" s="99"/>
      <c r="M76" s="99"/>
      <c r="N76" s="14"/>
      <c r="O76" s="14"/>
      <c r="P76" s="14"/>
      <c r="Q76" s="14"/>
      <c r="R76" s="14"/>
      <c r="S76" s="10"/>
      <c r="T76" s="10"/>
      <c r="U76" s="10"/>
      <c r="V76" s="10"/>
      <c r="W76" s="10"/>
      <c r="X76" s="14"/>
      <c r="Y76" s="15"/>
      <c r="Z76" s="15"/>
      <c r="AA76" s="15"/>
      <c r="AB76" s="15"/>
      <c r="AC76" s="15"/>
      <c r="AD76" s="15"/>
      <c r="AE76" s="15"/>
      <c r="AF76" s="15"/>
      <c r="AG76" s="15"/>
      <c r="AH76" s="15"/>
      <c r="AI76" s="15"/>
      <c r="AJ76" s="15"/>
      <c r="AK76" s="15"/>
      <c r="AL76" s="15"/>
      <c r="AM76" s="4"/>
      <c r="AN76" s="4"/>
      <c r="AO76" s="4"/>
      <c r="AP76" s="15"/>
      <c r="AQ76" s="4"/>
      <c r="AR76" s="4"/>
      <c r="AS76" s="4"/>
      <c r="AT76" s="5"/>
      <c r="AU76" s="5"/>
      <c r="AV76" s="5"/>
      <c r="AW76" s="5"/>
      <c r="AX76" s="5"/>
      <c r="AY76" s="5"/>
      <c r="AZ76" s="5"/>
      <c r="BA76" s="5"/>
      <c r="BB76" s="5"/>
      <c r="BC76" s="5"/>
      <c r="BD76" s="5"/>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row>
    <row r="77" ht="15.75" customHeight="1">
      <c r="A77" s="98"/>
      <c r="B77" s="98"/>
      <c r="C77" s="98"/>
      <c r="D77" s="98"/>
      <c r="E77" s="98"/>
      <c r="F77" s="98"/>
      <c r="G77" s="98"/>
      <c r="H77" s="98"/>
      <c r="I77" s="99"/>
      <c r="J77" s="99"/>
      <c r="K77" s="99"/>
      <c r="L77" s="99"/>
      <c r="M77" s="99"/>
      <c r="N77" s="14"/>
      <c r="O77" s="14"/>
      <c r="P77" s="14"/>
      <c r="Q77" s="14"/>
      <c r="R77" s="14"/>
      <c r="S77" s="10"/>
      <c r="T77" s="10"/>
      <c r="U77" s="10"/>
      <c r="V77" s="10"/>
      <c r="W77" s="10"/>
      <c r="X77" s="14"/>
      <c r="Y77" s="15"/>
      <c r="Z77" s="15"/>
      <c r="AA77" s="15"/>
      <c r="AB77" s="15"/>
      <c r="AC77" s="15"/>
      <c r="AD77" s="15"/>
      <c r="AE77" s="15"/>
      <c r="AF77" s="15"/>
      <c r="AG77" s="15"/>
      <c r="AH77" s="15"/>
      <c r="AI77" s="15"/>
      <c r="AJ77" s="15"/>
      <c r="AK77" s="15"/>
      <c r="AL77" s="15"/>
      <c r="AM77" s="4"/>
      <c r="AN77" s="4"/>
      <c r="AO77" s="4"/>
      <c r="AP77" s="15"/>
      <c r="AQ77" s="4"/>
      <c r="AR77" s="4"/>
      <c r="AS77" s="4"/>
      <c r="AT77" s="5"/>
      <c r="AU77" s="5"/>
      <c r="AV77" s="5"/>
      <c r="AW77" s="5"/>
      <c r="AX77" s="5"/>
      <c r="AY77" s="5"/>
      <c r="AZ77" s="5"/>
      <c r="BA77" s="5"/>
      <c r="BB77" s="5"/>
      <c r="BC77" s="5"/>
      <c r="BD77" s="5"/>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row>
    <row r="78" ht="15.75" customHeight="1">
      <c r="A78" s="98"/>
      <c r="B78" s="98"/>
      <c r="C78" s="98"/>
      <c r="D78" s="98"/>
      <c r="E78" s="98"/>
      <c r="F78" s="98"/>
      <c r="G78" s="98"/>
      <c r="H78" s="98"/>
      <c r="I78" s="99"/>
      <c r="J78" s="99"/>
      <c r="K78" s="99"/>
      <c r="L78" s="99"/>
      <c r="M78" s="99"/>
      <c r="N78" s="14"/>
      <c r="O78" s="14"/>
      <c r="P78" s="14"/>
      <c r="Q78" s="14"/>
      <c r="R78" s="14"/>
      <c r="S78" s="10"/>
      <c r="T78" s="10"/>
      <c r="U78" s="10"/>
      <c r="V78" s="10"/>
      <c r="W78" s="10"/>
      <c r="X78" s="14"/>
      <c r="Y78" s="15"/>
      <c r="Z78" s="15"/>
      <c r="AA78" s="15"/>
      <c r="AB78" s="15"/>
      <c r="AC78" s="15"/>
      <c r="AD78" s="15"/>
      <c r="AE78" s="15"/>
      <c r="AF78" s="15"/>
      <c r="AG78" s="15"/>
      <c r="AH78" s="15"/>
      <c r="AI78" s="15"/>
      <c r="AJ78" s="15"/>
      <c r="AK78" s="15"/>
      <c r="AL78" s="15"/>
      <c r="AM78" s="4"/>
      <c r="AN78" s="4"/>
      <c r="AO78" s="4"/>
      <c r="AP78" s="15"/>
      <c r="AQ78" s="4"/>
      <c r="AR78" s="4"/>
      <c r="AS78" s="4"/>
      <c r="AT78" s="5"/>
      <c r="AU78" s="5"/>
      <c r="AV78" s="5"/>
      <c r="AW78" s="5"/>
      <c r="AX78" s="5"/>
      <c r="AY78" s="5"/>
      <c r="AZ78" s="5"/>
      <c r="BA78" s="5"/>
      <c r="BB78" s="5"/>
      <c r="BC78" s="5"/>
      <c r="BD78" s="5"/>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row>
    <row r="79" ht="15.75" customHeight="1">
      <c r="A79" s="98"/>
      <c r="B79" s="98"/>
      <c r="C79" s="98"/>
      <c r="D79" s="98"/>
      <c r="E79" s="98"/>
      <c r="F79" s="98"/>
      <c r="G79" s="98"/>
      <c r="H79" s="98"/>
      <c r="I79" s="99"/>
      <c r="J79" s="99"/>
      <c r="K79" s="99"/>
      <c r="L79" s="99"/>
      <c r="M79" s="99"/>
      <c r="N79" s="14"/>
      <c r="O79" s="14"/>
      <c r="P79" s="14"/>
      <c r="Q79" s="14"/>
      <c r="R79" s="14"/>
      <c r="S79" s="10"/>
      <c r="T79" s="10"/>
      <c r="U79" s="10"/>
      <c r="V79" s="10"/>
      <c r="W79" s="10"/>
      <c r="X79" s="14"/>
      <c r="Y79" s="15"/>
      <c r="Z79" s="15"/>
      <c r="AA79" s="15"/>
      <c r="AB79" s="15"/>
      <c r="AC79" s="15"/>
      <c r="AD79" s="15"/>
      <c r="AE79" s="15"/>
      <c r="AF79" s="15"/>
      <c r="AG79" s="15"/>
      <c r="AH79" s="15"/>
      <c r="AI79" s="15"/>
      <c r="AJ79" s="15"/>
      <c r="AK79" s="15"/>
      <c r="AL79" s="15"/>
      <c r="AM79" s="4"/>
      <c r="AN79" s="4"/>
      <c r="AO79" s="4"/>
      <c r="AP79" s="15"/>
      <c r="AQ79" s="4"/>
      <c r="AR79" s="4"/>
      <c r="AS79" s="4"/>
      <c r="AT79" s="5"/>
      <c r="AU79" s="5"/>
      <c r="AV79" s="5"/>
      <c r="AW79" s="5"/>
      <c r="AX79" s="5"/>
      <c r="AY79" s="5"/>
      <c r="AZ79" s="5"/>
      <c r="BA79" s="5"/>
      <c r="BB79" s="5"/>
      <c r="BC79" s="5"/>
      <c r="BD79" s="5"/>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row>
    <row r="80" ht="15.75" customHeight="1">
      <c r="A80" s="98"/>
      <c r="B80" s="98"/>
      <c r="C80" s="98"/>
      <c r="D80" s="98"/>
      <c r="E80" s="98"/>
      <c r="F80" s="98"/>
      <c r="G80" s="98"/>
      <c r="H80" s="98"/>
      <c r="I80" s="99"/>
      <c r="J80" s="99"/>
      <c r="K80" s="99"/>
      <c r="L80" s="99"/>
      <c r="M80" s="99"/>
      <c r="N80" s="14"/>
      <c r="O80" s="14"/>
      <c r="P80" s="14"/>
      <c r="Q80" s="14"/>
      <c r="R80" s="14"/>
      <c r="S80" s="10"/>
      <c r="T80" s="10"/>
      <c r="U80" s="10"/>
      <c r="V80" s="10"/>
      <c r="W80" s="10"/>
      <c r="X80" s="14"/>
      <c r="Y80" s="15"/>
      <c r="Z80" s="15"/>
      <c r="AA80" s="15"/>
      <c r="AB80" s="15"/>
      <c r="AC80" s="15"/>
      <c r="AD80" s="15"/>
      <c r="AE80" s="15"/>
      <c r="AF80" s="15"/>
      <c r="AG80" s="15"/>
      <c r="AH80" s="15"/>
      <c r="AI80" s="15"/>
      <c r="AJ80" s="15"/>
      <c r="AK80" s="15"/>
      <c r="AL80" s="15"/>
      <c r="AM80" s="4"/>
      <c r="AN80" s="4"/>
      <c r="AO80" s="4"/>
      <c r="AP80" s="15"/>
      <c r="AQ80" s="4"/>
      <c r="AR80" s="4"/>
      <c r="AS80" s="4"/>
      <c r="AT80" s="5"/>
      <c r="AU80" s="5"/>
      <c r="AV80" s="5"/>
      <c r="AW80" s="5"/>
      <c r="AX80" s="5"/>
      <c r="AY80" s="5"/>
      <c r="AZ80" s="5"/>
      <c r="BA80" s="5"/>
      <c r="BB80" s="5"/>
      <c r="BC80" s="5"/>
      <c r="BD80" s="5"/>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row>
    <row r="81" ht="15.75" customHeight="1">
      <c r="A81" s="98"/>
      <c r="B81" s="98"/>
      <c r="C81" s="98"/>
      <c r="D81" s="98"/>
      <c r="E81" s="98"/>
      <c r="F81" s="98"/>
      <c r="G81" s="98"/>
      <c r="H81" s="98"/>
      <c r="I81" s="99"/>
      <c r="J81" s="99"/>
      <c r="K81" s="99"/>
      <c r="L81" s="99"/>
      <c r="M81" s="99"/>
      <c r="N81" s="14"/>
      <c r="O81" s="14"/>
      <c r="P81" s="14"/>
      <c r="Q81" s="14"/>
      <c r="R81" s="14"/>
      <c r="S81" s="10"/>
      <c r="T81" s="10"/>
      <c r="U81" s="10"/>
      <c r="V81" s="10"/>
      <c r="W81" s="10"/>
      <c r="X81" s="14"/>
      <c r="Y81" s="15"/>
      <c r="Z81" s="15"/>
      <c r="AA81" s="15"/>
      <c r="AB81" s="15"/>
      <c r="AC81" s="15"/>
      <c r="AD81" s="15"/>
      <c r="AE81" s="15"/>
      <c r="AF81" s="15"/>
      <c r="AG81" s="15"/>
      <c r="AH81" s="15"/>
      <c r="AI81" s="15"/>
      <c r="AJ81" s="15"/>
      <c r="AK81" s="15"/>
      <c r="AL81" s="15"/>
      <c r="AM81" s="4"/>
      <c r="AN81" s="4"/>
      <c r="AO81" s="4"/>
      <c r="AP81" s="15"/>
      <c r="AQ81" s="4"/>
      <c r="AR81" s="4"/>
      <c r="AS81" s="4"/>
      <c r="AT81" s="5"/>
      <c r="AU81" s="5"/>
      <c r="AV81" s="5"/>
      <c r="AW81" s="5"/>
      <c r="AX81" s="5"/>
      <c r="AY81" s="5"/>
      <c r="AZ81" s="5"/>
      <c r="BA81" s="5"/>
      <c r="BB81" s="5"/>
      <c r="BC81" s="5"/>
      <c r="BD81" s="5"/>
      <c r="BE81" s="98"/>
      <c r="BF81" s="98"/>
      <c r="BG81" s="98"/>
      <c r="BH81" s="98"/>
      <c r="BI81" s="98"/>
      <c r="BJ81" s="98"/>
      <c r="BK81" s="98"/>
      <c r="BL81" s="98"/>
      <c r="BM81" s="98"/>
      <c r="BN81" s="98"/>
      <c r="BO81" s="98"/>
      <c r="BP81" s="98"/>
      <c r="BQ81" s="98"/>
      <c r="BR81" s="98"/>
      <c r="BS81" s="98"/>
      <c r="BT81" s="98"/>
      <c r="BU81" s="98"/>
      <c r="BV81" s="98"/>
      <c r="BW81" s="98"/>
      <c r="BX81" s="98"/>
      <c r="BY81" s="98"/>
      <c r="BZ81" s="98"/>
      <c r="CA81" s="98"/>
      <c r="CB81" s="98"/>
      <c r="CC81" s="98"/>
    </row>
    <row r="82" ht="15.75" customHeight="1">
      <c r="A82" s="98"/>
      <c r="B82" s="98"/>
      <c r="C82" s="98"/>
      <c r="D82" s="98"/>
      <c r="E82" s="98"/>
      <c r="F82" s="98"/>
      <c r="G82" s="98"/>
      <c r="H82" s="98"/>
      <c r="I82" s="99"/>
      <c r="J82" s="99"/>
      <c r="K82" s="99"/>
      <c r="L82" s="99"/>
      <c r="M82" s="99"/>
      <c r="N82" s="14"/>
      <c r="O82" s="14"/>
      <c r="P82" s="14"/>
      <c r="Q82" s="14"/>
      <c r="R82" s="14"/>
      <c r="S82" s="10"/>
      <c r="T82" s="10"/>
      <c r="U82" s="10"/>
      <c r="V82" s="10"/>
      <c r="W82" s="10"/>
      <c r="X82" s="14"/>
      <c r="Y82" s="15"/>
      <c r="Z82" s="15"/>
      <c r="AA82" s="15"/>
      <c r="AB82" s="15"/>
      <c r="AC82" s="15"/>
      <c r="AD82" s="15"/>
      <c r="AE82" s="15"/>
      <c r="AF82" s="15"/>
      <c r="AG82" s="15"/>
      <c r="AH82" s="15"/>
      <c r="AI82" s="15"/>
      <c r="AJ82" s="15"/>
      <c r="AK82" s="15"/>
      <c r="AL82" s="15"/>
      <c r="AM82" s="4"/>
      <c r="AN82" s="4"/>
      <c r="AO82" s="4"/>
      <c r="AP82" s="15"/>
      <c r="AQ82" s="4"/>
      <c r="AR82" s="4"/>
      <c r="AS82" s="4"/>
      <c r="AT82" s="5"/>
      <c r="AU82" s="5"/>
      <c r="AV82" s="5"/>
      <c r="AW82" s="5"/>
      <c r="AX82" s="5"/>
      <c r="AY82" s="5"/>
      <c r="AZ82" s="5"/>
      <c r="BA82" s="5"/>
      <c r="BB82" s="5"/>
      <c r="BC82" s="5"/>
      <c r="BD82" s="5"/>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row>
    <row r="83" ht="15.75" customHeight="1">
      <c r="A83" s="98"/>
      <c r="B83" s="98"/>
      <c r="C83" s="98"/>
      <c r="D83" s="98"/>
      <c r="E83" s="98"/>
      <c r="F83" s="98"/>
      <c r="G83" s="98"/>
      <c r="H83" s="98"/>
      <c r="I83" s="99"/>
      <c r="J83" s="99"/>
      <c r="K83" s="99"/>
      <c r="L83" s="99"/>
      <c r="M83" s="99"/>
      <c r="N83" s="14"/>
      <c r="O83" s="14"/>
      <c r="P83" s="14"/>
      <c r="Q83" s="14"/>
      <c r="R83" s="14"/>
      <c r="S83" s="10"/>
      <c r="T83" s="10"/>
      <c r="U83" s="10"/>
      <c r="V83" s="10"/>
      <c r="W83" s="10"/>
      <c r="X83" s="14"/>
      <c r="Y83" s="15"/>
      <c r="Z83" s="15"/>
      <c r="AA83" s="15"/>
      <c r="AB83" s="15"/>
      <c r="AC83" s="15"/>
      <c r="AD83" s="15"/>
      <c r="AE83" s="15"/>
      <c r="AF83" s="15"/>
      <c r="AG83" s="15"/>
      <c r="AH83" s="15"/>
      <c r="AI83" s="15"/>
      <c r="AJ83" s="15"/>
      <c r="AK83" s="15"/>
      <c r="AL83" s="15"/>
      <c r="AM83" s="4"/>
      <c r="AN83" s="4"/>
      <c r="AO83" s="4"/>
      <c r="AP83" s="15"/>
      <c r="AQ83" s="4"/>
      <c r="AR83" s="4"/>
      <c r="AS83" s="4"/>
      <c r="AT83" s="5"/>
      <c r="AU83" s="5"/>
      <c r="AV83" s="5"/>
      <c r="AW83" s="5"/>
      <c r="AX83" s="5"/>
      <c r="AY83" s="5"/>
      <c r="AZ83" s="5"/>
      <c r="BA83" s="5"/>
      <c r="BB83" s="5"/>
      <c r="BC83" s="5"/>
      <c r="BD83" s="5"/>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row>
    <row r="84" ht="15.75" customHeight="1">
      <c r="A84" s="98"/>
      <c r="B84" s="98"/>
      <c r="C84" s="98"/>
      <c r="D84" s="98"/>
      <c r="E84" s="98"/>
      <c r="F84" s="98"/>
      <c r="G84" s="98"/>
      <c r="H84" s="98"/>
      <c r="I84" s="99"/>
      <c r="J84" s="99"/>
      <c r="K84" s="99"/>
      <c r="L84" s="99"/>
      <c r="M84" s="99"/>
      <c r="N84" s="14"/>
      <c r="O84" s="14"/>
      <c r="P84" s="14"/>
      <c r="Q84" s="14"/>
      <c r="R84" s="14"/>
      <c r="S84" s="10"/>
      <c r="T84" s="10"/>
      <c r="U84" s="10"/>
      <c r="V84" s="10"/>
      <c r="W84" s="10"/>
      <c r="X84" s="14"/>
      <c r="Y84" s="15"/>
      <c r="Z84" s="15"/>
      <c r="AA84" s="15"/>
      <c r="AB84" s="15"/>
      <c r="AC84" s="15"/>
      <c r="AD84" s="15"/>
      <c r="AE84" s="15"/>
      <c r="AF84" s="15"/>
      <c r="AG84" s="15"/>
      <c r="AH84" s="15"/>
      <c r="AI84" s="15"/>
      <c r="AJ84" s="15"/>
      <c r="AK84" s="15"/>
      <c r="AL84" s="15"/>
      <c r="AM84" s="4"/>
      <c r="AN84" s="4"/>
      <c r="AO84" s="4"/>
      <c r="AP84" s="15"/>
      <c r="AQ84" s="4"/>
      <c r="AR84" s="4"/>
      <c r="AS84" s="4"/>
      <c r="AT84" s="5"/>
      <c r="AU84" s="5"/>
      <c r="AV84" s="5"/>
      <c r="AW84" s="5"/>
      <c r="AX84" s="5"/>
      <c r="AY84" s="5"/>
      <c r="AZ84" s="5"/>
      <c r="BA84" s="5"/>
      <c r="BB84" s="5"/>
      <c r="BC84" s="5"/>
      <c r="BD84" s="5"/>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row>
    <row r="85" ht="15.75" customHeight="1">
      <c r="A85" s="98"/>
      <c r="B85" s="98"/>
      <c r="C85" s="98"/>
      <c r="D85" s="98"/>
      <c r="E85" s="98"/>
      <c r="F85" s="98"/>
      <c r="G85" s="98"/>
      <c r="H85" s="98"/>
      <c r="I85" s="99"/>
      <c r="J85" s="99"/>
      <c r="K85" s="99"/>
      <c r="L85" s="99"/>
      <c r="M85" s="99"/>
      <c r="N85" s="14"/>
      <c r="O85" s="14"/>
      <c r="P85" s="14"/>
      <c r="Q85" s="14"/>
      <c r="R85" s="14"/>
      <c r="S85" s="10"/>
      <c r="T85" s="10"/>
      <c r="U85" s="10"/>
      <c r="V85" s="10"/>
      <c r="W85" s="10"/>
      <c r="X85" s="14"/>
      <c r="Y85" s="15"/>
      <c r="Z85" s="15"/>
      <c r="AA85" s="15"/>
      <c r="AB85" s="15"/>
      <c r="AC85" s="15"/>
      <c r="AD85" s="15"/>
      <c r="AE85" s="15"/>
      <c r="AF85" s="15"/>
      <c r="AG85" s="15"/>
      <c r="AH85" s="15"/>
      <c r="AI85" s="15"/>
      <c r="AJ85" s="15"/>
      <c r="AK85" s="15"/>
      <c r="AL85" s="15"/>
      <c r="AM85" s="4"/>
      <c r="AN85" s="4"/>
      <c r="AO85" s="4"/>
      <c r="AP85" s="15"/>
      <c r="AQ85" s="4"/>
      <c r="AR85" s="4"/>
      <c r="AS85" s="4"/>
      <c r="AT85" s="5"/>
      <c r="AU85" s="5"/>
      <c r="AV85" s="5"/>
      <c r="AW85" s="5"/>
      <c r="AX85" s="5"/>
      <c r="AY85" s="5"/>
      <c r="AZ85" s="5"/>
      <c r="BA85" s="5"/>
      <c r="BB85" s="5"/>
      <c r="BC85" s="5"/>
      <c r="BD85" s="5"/>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row>
    <row r="86" ht="15.75" customHeight="1">
      <c r="A86" s="98"/>
      <c r="B86" s="98"/>
      <c r="C86" s="98"/>
      <c r="D86" s="98"/>
      <c r="E86" s="98"/>
      <c r="F86" s="98"/>
      <c r="G86" s="98"/>
      <c r="H86" s="98"/>
      <c r="I86" s="99"/>
      <c r="J86" s="99"/>
      <c r="K86" s="99"/>
      <c r="L86" s="99"/>
      <c r="M86" s="99"/>
      <c r="N86" s="14"/>
      <c r="O86" s="14"/>
      <c r="P86" s="14"/>
      <c r="Q86" s="14"/>
      <c r="R86" s="14"/>
      <c r="S86" s="10"/>
      <c r="T86" s="10"/>
      <c r="U86" s="10"/>
      <c r="V86" s="10"/>
      <c r="W86" s="10"/>
      <c r="X86" s="14"/>
      <c r="Y86" s="15"/>
      <c r="Z86" s="15"/>
      <c r="AA86" s="15"/>
      <c r="AB86" s="15"/>
      <c r="AC86" s="15"/>
      <c r="AD86" s="15"/>
      <c r="AE86" s="15"/>
      <c r="AF86" s="15"/>
      <c r="AG86" s="15"/>
      <c r="AH86" s="15"/>
      <c r="AI86" s="15"/>
      <c r="AJ86" s="15"/>
      <c r="AK86" s="15"/>
      <c r="AL86" s="15"/>
      <c r="AM86" s="4"/>
      <c r="AN86" s="4"/>
      <c r="AO86" s="4"/>
      <c r="AP86" s="15"/>
      <c r="AQ86" s="4"/>
      <c r="AR86" s="4"/>
      <c r="AS86" s="4"/>
      <c r="AT86" s="5"/>
      <c r="AU86" s="5"/>
      <c r="AV86" s="5"/>
      <c r="AW86" s="5"/>
      <c r="AX86" s="5"/>
      <c r="AY86" s="5"/>
      <c r="AZ86" s="5"/>
      <c r="BA86" s="5"/>
      <c r="BB86" s="5"/>
      <c r="BC86" s="5"/>
      <c r="BD86" s="5"/>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row>
    <row r="87" ht="15.75" customHeight="1">
      <c r="A87" s="98"/>
      <c r="B87" s="98"/>
      <c r="C87" s="98"/>
      <c r="D87" s="98"/>
      <c r="E87" s="98"/>
      <c r="F87" s="98"/>
      <c r="G87" s="98"/>
      <c r="H87" s="98"/>
      <c r="I87" s="99"/>
      <c r="J87" s="99"/>
      <c r="K87" s="99"/>
      <c r="L87" s="99"/>
      <c r="M87" s="99"/>
      <c r="N87" s="14"/>
      <c r="O87" s="14"/>
      <c r="P87" s="14"/>
      <c r="Q87" s="14"/>
      <c r="R87" s="14"/>
      <c r="S87" s="10"/>
      <c r="T87" s="10"/>
      <c r="U87" s="10"/>
      <c r="V87" s="10"/>
      <c r="W87" s="10"/>
      <c r="X87" s="14"/>
      <c r="Y87" s="15"/>
      <c r="Z87" s="15"/>
      <c r="AA87" s="15"/>
      <c r="AB87" s="15"/>
      <c r="AC87" s="15"/>
      <c r="AD87" s="15"/>
      <c r="AE87" s="15"/>
      <c r="AF87" s="15"/>
      <c r="AG87" s="15"/>
      <c r="AH87" s="15"/>
      <c r="AI87" s="15"/>
      <c r="AJ87" s="15"/>
      <c r="AK87" s="15"/>
      <c r="AL87" s="15"/>
      <c r="AM87" s="4"/>
      <c r="AN87" s="4"/>
      <c r="AO87" s="4"/>
      <c r="AP87" s="15"/>
      <c r="AQ87" s="4"/>
      <c r="AR87" s="4"/>
      <c r="AS87" s="4"/>
      <c r="AT87" s="5"/>
      <c r="AU87" s="5"/>
      <c r="AV87" s="5"/>
      <c r="AW87" s="5"/>
      <c r="AX87" s="5"/>
      <c r="AY87" s="5"/>
      <c r="AZ87" s="5"/>
      <c r="BA87" s="5"/>
      <c r="BB87" s="5"/>
      <c r="BC87" s="5"/>
      <c r="BD87" s="5"/>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row>
    <row r="88" ht="15.75" customHeight="1">
      <c r="A88" s="98"/>
      <c r="B88" s="98"/>
      <c r="C88" s="98"/>
      <c r="D88" s="98"/>
      <c r="E88" s="98"/>
      <c r="F88" s="98"/>
      <c r="G88" s="98"/>
      <c r="H88" s="98"/>
      <c r="I88" s="99"/>
      <c r="J88" s="99"/>
      <c r="K88" s="99"/>
      <c r="L88" s="99"/>
      <c r="M88" s="99"/>
      <c r="N88" s="14"/>
      <c r="O88" s="14"/>
      <c r="P88" s="14"/>
      <c r="Q88" s="14"/>
      <c r="R88" s="14"/>
      <c r="S88" s="10"/>
      <c r="T88" s="10"/>
      <c r="U88" s="10"/>
      <c r="V88" s="10"/>
      <c r="W88" s="10"/>
      <c r="X88" s="14"/>
      <c r="Y88" s="15"/>
      <c r="Z88" s="15"/>
      <c r="AA88" s="15"/>
      <c r="AB88" s="15"/>
      <c r="AC88" s="15"/>
      <c r="AD88" s="15"/>
      <c r="AE88" s="15"/>
      <c r="AF88" s="15"/>
      <c r="AG88" s="15"/>
      <c r="AH88" s="15"/>
      <c r="AI88" s="15"/>
      <c r="AJ88" s="15"/>
      <c r="AK88" s="15"/>
      <c r="AL88" s="15"/>
      <c r="AM88" s="4"/>
      <c r="AN88" s="4"/>
      <c r="AO88" s="4"/>
      <c r="AP88" s="15"/>
      <c r="AQ88" s="4"/>
      <c r="AR88" s="4"/>
      <c r="AS88" s="4"/>
      <c r="AT88" s="5"/>
      <c r="AU88" s="5"/>
      <c r="AV88" s="5"/>
      <c r="AW88" s="5"/>
      <c r="AX88" s="5"/>
      <c r="AY88" s="5"/>
      <c r="AZ88" s="5"/>
      <c r="BA88" s="5"/>
      <c r="BB88" s="5"/>
      <c r="BC88" s="5"/>
      <c r="BD88" s="5"/>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row>
    <row r="89" ht="15.75" customHeight="1">
      <c r="A89" s="98"/>
      <c r="B89" s="98"/>
      <c r="C89" s="98"/>
      <c r="D89" s="98"/>
      <c r="E89" s="98"/>
      <c r="F89" s="98"/>
      <c r="G89" s="98"/>
      <c r="H89" s="98"/>
      <c r="I89" s="99"/>
      <c r="J89" s="99"/>
      <c r="K89" s="99"/>
      <c r="L89" s="99"/>
      <c r="M89" s="99"/>
      <c r="N89" s="14"/>
      <c r="O89" s="14"/>
      <c r="P89" s="14"/>
      <c r="Q89" s="14"/>
      <c r="R89" s="14"/>
      <c r="S89" s="10"/>
      <c r="T89" s="10"/>
      <c r="U89" s="10"/>
      <c r="V89" s="10"/>
      <c r="W89" s="10"/>
      <c r="X89" s="14"/>
      <c r="Y89" s="15"/>
      <c r="Z89" s="15"/>
      <c r="AA89" s="15"/>
      <c r="AB89" s="15"/>
      <c r="AC89" s="15"/>
      <c r="AD89" s="15"/>
      <c r="AE89" s="15"/>
      <c r="AF89" s="15"/>
      <c r="AG89" s="15"/>
      <c r="AH89" s="15"/>
      <c r="AI89" s="15"/>
      <c r="AJ89" s="15"/>
      <c r="AK89" s="15"/>
      <c r="AL89" s="15"/>
      <c r="AM89" s="4"/>
      <c r="AN89" s="4"/>
      <c r="AO89" s="4"/>
      <c r="AP89" s="15"/>
      <c r="AQ89" s="4"/>
      <c r="AR89" s="4"/>
      <c r="AS89" s="4"/>
      <c r="AT89" s="5"/>
      <c r="AU89" s="5"/>
      <c r="AV89" s="5"/>
      <c r="AW89" s="5"/>
      <c r="AX89" s="5"/>
      <c r="AY89" s="5"/>
      <c r="AZ89" s="5"/>
      <c r="BA89" s="5"/>
      <c r="BB89" s="5"/>
      <c r="BC89" s="5"/>
      <c r="BD89" s="5"/>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row>
    <row r="90" ht="15.75" customHeight="1">
      <c r="A90" s="98"/>
      <c r="B90" s="98"/>
      <c r="C90" s="98"/>
      <c r="D90" s="98"/>
      <c r="E90" s="98"/>
      <c r="F90" s="98"/>
      <c r="G90" s="98"/>
      <c r="H90" s="98"/>
      <c r="I90" s="99"/>
      <c r="J90" s="99"/>
      <c r="K90" s="99"/>
      <c r="L90" s="99"/>
      <c r="M90" s="99"/>
      <c r="N90" s="14"/>
      <c r="O90" s="14"/>
      <c r="P90" s="14"/>
      <c r="Q90" s="14"/>
      <c r="R90" s="14"/>
      <c r="S90" s="10"/>
      <c r="T90" s="10"/>
      <c r="U90" s="10"/>
      <c r="V90" s="10"/>
      <c r="W90" s="10"/>
      <c r="X90" s="14"/>
      <c r="Y90" s="15"/>
      <c r="Z90" s="15"/>
      <c r="AA90" s="15"/>
      <c r="AB90" s="15"/>
      <c r="AC90" s="15"/>
      <c r="AD90" s="15"/>
      <c r="AE90" s="15"/>
      <c r="AF90" s="15"/>
      <c r="AG90" s="15"/>
      <c r="AH90" s="15"/>
      <c r="AI90" s="15"/>
      <c r="AJ90" s="15"/>
      <c r="AK90" s="15"/>
      <c r="AL90" s="15"/>
      <c r="AM90" s="4"/>
      <c r="AN90" s="4"/>
      <c r="AO90" s="4"/>
      <c r="AP90" s="15"/>
      <c r="AQ90" s="4"/>
      <c r="AR90" s="4"/>
      <c r="AS90" s="4"/>
      <c r="AT90" s="5"/>
      <c r="AU90" s="5"/>
      <c r="AV90" s="5"/>
      <c r="AW90" s="5"/>
      <c r="AX90" s="5"/>
      <c r="AY90" s="5"/>
      <c r="AZ90" s="5"/>
      <c r="BA90" s="5"/>
      <c r="BB90" s="5"/>
      <c r="BC90" s="5"/>
      <c r="BD90" s="5"/>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row>
    <row r="91" ht="15.75" customHeight="1">
      <c r="A91" s="98"/>
      <c r="B91" s="98"/>
      <c r="C91" s="98"/>
      <c r="D91" s="98"/>
      <c r="E91" s="98"/>
      <c r="F91" s="98"/>
      <c r="G91" s="98"/>
      <c r="H91" s="98"/>
      <c r="I91" s="99"/>
      <c r="J91" s="99"/>
      <c r="K91" s="99"/>
      <c r="L91" s="99"/>
      <c r="M91" s="99"/>
      <c r="N91" s="99"/>
      <c r="O91" s="99"/>
      <c r="P91" s="99"/>
      <c r="Q91" s="99"/>
      <c r="R91" s="99"/>
      <c r="S91" s="99"/>
      <c r="T91" s="99"/>
      <c r="U91" s="99"/>
      <c r="V91" s="99"/>
      <c r="W91" s="99"/>
      <c r="X91" s="99"/>
      <c r="Y91" s="98"/>
      <c r="Z91" s="98"/>
      <c r="AA91" s="98"/>
      <c r="AB91" s="98"/>
      <c r="AC91" s="98"/>
      <c r="AD91" s="98"/>
      <c r="AE91" s="98"/>
      <c r="AF91" s="98"/>
      <c r="AG91" s="98"/>
      <c r="AH91" s="98"/>
      <c r="AI91" s="98"/>
      <c r="AJ91" s="98"/>
      <c r="AK91" s="98"/>
      <c r="AL91" s="98"/>
      <c r="AM91" s="4"/>
      <c r="AN91" s="4"/>
      <c r="AO91" s="4"/>
      <c r="AP91" s="98"/>
      <c r="AQ91" s="4"/>
      <c r="AR91" s="4"/>
      <c r="AS91" s="4"/>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row>
    <row r="92" ht="15.75" customHeight="1">
      <c r="A92" s="98"/>
      <c r="B92" s="98"/>
      <c r="C92" s="98"/>
      <c r="D92" s="98"/>
      <c r="E92" s="98"/>
      <c r="F92" s="98"/>
      <c r="G92" s="98"/>
      <c r="H92" s="98"/>
      <c r="I92" s="99"/>
      <c r="J92" s="99"/>
      <c r="K92" s="99"/>
      <c r="L92" s="99"/>
      <c r="M92" s="99"/>
      <c r="N92" s="99"/>
      <c r="O92" s="99"/>
      <c r="P92" s="99"/>
      <c r="Q92" s="99"/>
      <c r="R92" s="99"/>
      <c r="S92" s="99"/>
      <c r="T92" s="99"/>
      <c r="U92" s="99"/>
      <c r="V92" s="99"/>
      <c r="W92" s="99"/>
      <c r="X92" s="99"/>
      <c r="Y92" s="98"/>
      <c r="Z92" s="98"/>
      <c r="AA92" s="98"/>
      <c r="AB92" s="98"/>
      <c r="AC92" s="98"/>
      <c r="AD92" s="98"/>
      <c r="AE92" s="98"/>
      <c r="AF92" s="98"/>
      <c r="AG92" s="98"/>
      <c r="AH92" s="98"/>
      <c r="AI92" s="98"/>
      <c r="AJ92" s="98"/>
      <c r="AK92" s="98"/>
      <c r="AL92" s="98"/>
      <c r="AM92" s="4"/>
      <c r="AN92" s="4"/>
      <c r="AO92" s="4"/>
      <c r="AP92" s="98"/>
      <c r="AQ92" s="4"/>
      <c r="AR92" s="4"/>
      <c r="AS92" s="4"/>
      <c r="AT92" s="98"/>
      <c r="AU92" s="98"/>
      <c r="AV92" s="98"/>
      <c r="AW92" s="98"/>
      <c r="AX92" s="98"/>
      <c r="AY92" s="98"/>
      <c r="AZ92" s="98"/>
      <c r="BA92" s="98"/>
      <c r="BB92" s="98"/>
      <c r="BC92" s="98"/>
      <c r="BD92" s="98"/>
      <c r="BE92" s="98"/>
      <c r="BF92" s="98"/>
      <c r="BG92" s="98"/>
      <c r="BH92" s="98"/>
      <c r="BI92" s="98"/>
      <c r="BJ92" s="98"/>
      <c r="BK92" s="98"/>
      <c r="BL92" s="98"/>
      <c r="BM92" s="98"/>
      <c r="BN92" s="98"/>
      <c r="BO92" s="98"/>
      <c r="BP92" s="98"/>
      <c r="BQ92" s="98"/>
      <c r="BR92" s="98"/>
      <c r="BS92" s="98"/>
      <c r="BT92" s="98"/>
      <c r="BU92" s="98"/>
      <c r="BV92" s="98"/>
      <c r="BW92" s="98"/>
      <c r="BX92" s="98"/>
      <c r="BY92" s="98"/>
      <c r="BZ92" s="98"/>
      <c r="CA92" s="98"/>
      <c r="CB92" s="98"/>
      <c r="CC92" s="98"/>
    </row>
    <row r="93" ht="15.75" customHeight="1">
      <c r="A93" s="98"/>
      <c r="B93" s="98"/>
      <c r="C93" s="98"/>
      <c r="D93" s="98"/>
      <c r="E93" s="98"/>
      <c r="F93" s="98"/>
      <c r="G93" s="98"/>
      <c r="H93" s="98"/>
      <c r="I93" s="99"/>
      <c r="J93" s="99"/>
      <c r="K93" s="99"/>
      <c r="L93" s="99"/>
      <c r="M93" s="99"/>
      <c r="N93" s="99"/>
      <c r="O93" s="99"/>
      <c r="P93" s="99"/>
      <c r="Q93" s="99"/>
      <c r="R93" s="99"/>
      <c r="S93" s="99"/>
      <c r="T93" s="99"/>
      <c r="U93" s="99"/>
      <c r="V93" s="99"/>
      <c r="W93" s="99"/>
      <c r="X93" s="99"/>
      <c r="Y93" s="98"/>
      <c r="Z93" s="98"/>
      <c r="AA93" s="98"/>
      <c r="AB93" s="98"/>
      <c r="AC93" s="98"/>
      <c r="AD93" s="98"/>
      <c r="AE93" s="98"/>
      <c r="AF93" s="98"/>
      <c r="AG93" s="98"/>
      <c r="AH93" s="98"/>
      <c r="AI93" s="98"/>
      <c r="AJ93" s="98"/>
      <c r="AK93" s="98"/>
      <c r="AL93" s="98"/>
      <c r="AM93" s="4"/>
      <c r="AN93" s="4"/>
      <c r="AO93" s="4"/>
      <c r="AP93" s="98"/>
      <c r="AQ93" s="4"/>
      <c r="AR93" s="4"/>
      <c r="AS93" s="4"/>
      <c r="AT93" s="98"/>
      <c r="AU93" s="98"/>
      <c r="AV93" s="98"/>
      <c r="AW93" s="98"/>
      <c r="AX93" s="98"/>
      <c r="AY93" s="98"/>
      <c r="AZ93" s="98"/>
      <c r="BA93" s="98"/>
      <c r="BB93" s="98"/>
      <c r="BC93" s="98"/>
      <c r="BD93" s="98"/>
      <c r="BE93" s="98"/>
      <c r="BF93" s="98"/>
      <c r="BG93" s="98"/>
      <c r="BH93" s="98"/>
      <c r="BI93" s="98"/>
      <c r="BJ93" s="98"/>
      <c r="BK93" s="98"/>
      <c r="BL93" s="98"/>
      <c r="BM93" s="98"/>
      <c r="BN93" s="98"/>
      <c r="BO93" s="98"/>
      <c r="BP93" s="98"/>
      <c r="BQ93" s="98"/>
      <c r="BR93" s="98"/>
      <c r="BS93" s="98"/>
      <c r="BT93" s="98"/>
      <c r="BU93" s="98"/>
      <c r="BV93" s="98"/>
      <c r="BW93" s="98"/>
      <c r="BX93" s="98"/>
      <c r="BY93" s="98"/>
      <c r="BZ93" s="98"/>
      <c r="CA93" s="98"/>
      <c r="CB93" s="98"/>
      <c r="CC93" s="98"/>
    </row>
    <row r="94" ht="15.75" customHeight="1">
      <c r="A94" s="98"/>
      <c r="B94" s="98"/>
      <c r="C94" s="98"/>
      <c r="D94" s="98"/>
      <c r="E94" s="98"/>
      <c r="F94" s="98"/>
      <c r="G94" s="98"/>
      <c r="H94" s="98"/>
      <c r="I94" s="99"/>
      <c r="J94" s="99"/>
      <c r="K94" s="99"/>
      <c r="L94" s="99"/>
      <c r="M94" s="99"/>
      <c r="N94" s="99"/>
      <c r="O94" s="99"/>
      <c r="P94" s="99"/>
      <c r="Q94" s="99"/>
      <c r="R94" s="99"/>
      <c r="S94" s="99"/>
      <c r="T94" s="99"/>
      <c r="U94" s="99"/>
      <c r="V94" s="99"/>
      <c r="W94" s="99"/>
      <c r="X94" s="99"/>
      <c r="Y94" s="98"/>
      <c r="Z94" s="98"/>
      <c r="AA94" s="98"/>
      <c r="AB94" s="98"/>
      <c r="AC94" s="98"/>
      <c r="AD94" s="98"/>
      <c r="AE94" s="98"/>
      <c r="AF94" s="98"/>
      <c r="AG94" s="98"/>
      <c r="AH94" s="98"/>
      <c r="AI94" s="98"/>
      <c r="AJ94" s="98"/>
      <c r="AK94" s="98"/>
      <c r="AL94" s="98"/>
      <c r="AM94" s="4"/>
      <c r="AN94" s="4"/>
      <c r="AO94" s="4"/>
      <c r="AP94" s="98"/>
      <c r="AQ94" s="4"/>
      <c r="AR94" s="4"/>
      <c r="AS94" s="4"/>
      <c r="AT94" s="98"/>
      <c r="AU94" s="98"/>
      <c r="AV94" s="98"/>
      <c r="AW94" s="98"/>
      <c r="AX94" s="98"/>
      <c r="AY94" s="98"/>
      <c r="AZ94" s="98"/>
      <c r="BA94" s="98"/>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row>
    <row r="95" ht="15.75" customHeight="1">
      <c r="A95" s="98"/>
      <c r="B95" s="98"/>
      <c r="C95" s="98"/>
      <c r="D95" s="98"/>
      <c r="E95" s="98"/>
      <c r="F95" s="98"/>
      <c r="G95" s="98"/>
      <c r="H95" s="98"/>
      <c r="I95" s="99"/>
      <c r="J95" s="99"/>
      <c r="K95" s="99"/>
      <c r="L95" s="99"/>
      <c r="M95" s="99"/>
      <c r="N95" s="99"/>
      <c r="O95" s="99"/>
      <c r="P95" s="99"/>
      <c r="Q95" s="99"/>
      <c r="R95" s="99"/>
      <c r="S95" s="99"/>
      <c r="T95" s="99"/>
      <c r="U95" s="99"/>
      <c r="V95" s="99"/>
      <c r="W95" s="99"/>
      <c r="X95" s="99"/>
      <c r="Y95" s="98"/>
      <c r="Z95" s="98"/>
      <c r="AA95" s="98"/>
      <c r="AB95" s="98"/>
      <c r="AC95" s="98"/>
      <c r="AD95" s="98"/>
      <c r="AE95" s="98"/>
      <c r="AF95" s="98"/>
      <c r="AG95" s="98"/>
      <c r="AH95" s="98"/>
      <c r="AI95" s="98"/>
      <c r="AJ95" s="98"/>
      <c r="AK95" s="98"/>
      <c r="AL95" s="98"/>
      <c r="AM95" s="4"/>
      <c r="AN95" s="4"/>
      <c r="AO95" s="4"/>
      <c r="AP95" s="98"/>
      <c r="AQ95" s="4"/>
      <c r="AR95" s="4"/>
      <c r="AS95" s="4"/>
      <c r="AT95" s="98"/>
      <c r="AU95" s="98"/>
      <c r="AV95" s="98"/>
      <c r="AW95" s="98"/>
      <c r="AX95" s="98"/>
      <c r="AY95" s="98"/>
      <c r="AZ95" s="98"/>
      <c r="BA95" s="98"/>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98"/>
      <c r="CB95" s="98"/>
      <c r="CC95" s="98"/>
    </row>
    <row r="96" ht="15.75" customHeight="1">
      <c r="A96" s="98"/>
      <c r="B96" s="98"/>
      <c r="C96" s="98"/>
      <c r="D96" s="98"/>
      <c r="E96" s="98"/>
      <c r="F96" s="98"/>
      <c r="G96" s="98"/>
      <c r="H96" s="98"/>
      <c r="I96" s="99"/>
      <c r="J96" s="99"/>
      <c r="K96" s="99"/>
      <c r="L96" s="99"/>
      <c r="M96" s="99"/>
      <c r="N96" s="99"/>
      <c r="O96" s="99"/>
      <c r="P96" s="99"/>
      <c r="Q96" s="99"/>
      <c r="R96" s="99"/>
      <c r="S96" s="99"/>
      <c r="T96" s="99"/>
      <c r="U96" s="99"/>
      <c r="V96" s="99"/>
      <c r="W96" s="99"/>
      <c r="X96" s="99"/>
      <c r="Y96" s="98"/>
      <c r="Z96" s="98"/>
      <c r="AA96" s="98"/>
      <c r="AB96" s="98"/>
      <c r="AC96" s="98"/>
      <c r="AD96" s="98"/>
      <c r="AE96" s="98"/>
      <c r="AF96" s="98"/>
      <c r="AG96" s="98"/>
      <c r="AH96" s="98"/>
      <c r="AI96" s="98"/>
      <c r="AJ96" s="98"/>
      <c r="AK96" s="98"/>
      <c r="AL96" s="98"/>
      <c r="AM96" s="4"/>
      <c r="AN96" s="4"/>
      <c r="AO96" s="4"/>
      <c r="AP96" s="98"/>
      <c r="AQ96" s="4"/>
      <c r="AR96" s="4"/>
      <c r="AS96" s="4"/>
      <c r="AT96" s="98"/>
      <c r="AU96" s="98"/>
      <c r="AV96" s="98"/>
      <c r="AW96" s="98"/>
      <c r="AX96" s="98"/>
      <c r="AY96" s="98"/>
      <c r="AZ96" s="98"/>
      <c r="BA96" s="98"/>
      <c r="BB96" s="98"/>
      <c r="BC96" s="98"/>
      <c r="BD96" s="98"/>
      <c r="BE96" s="98"/>
      <c r="BF96" s="98"/>
      <c r="BG96" s="98"/>
      <c r="BH96" s="98"/>
      <c r="BI96" s="98"/>
      <c r="BJ96" s="98"/>
      <c r="BK96" s="98"/>
      <c r="BL96" s="98"/>
      <c r="BM96" s="98"/>
      <c r="BN96" s="98"/>
      <c r="BO96" s="98"/>
      <c r="BP96" s="98"/>
      <c r="BQ96" s="98"/>
      <c r="BR96" s="98"/>
      <c r="BS96" s="98"/>
      <c r="BT96" s="98"/>
      <c r="BU96" s="98"/>
      <c r="BV96" s="98"/>
      <c r="BW96" s="98"/>
      <c r="BX96" s="98"/>
      <c r="BY96" s="98"/>
      <c r="BZ96" s="98"/>
      <c r="CA96" s="98"/>
      <c r="CB96" s="98"/>
      <c r="CC96" s="98"/>
    </row>
    <row r="97" ht="15.75" customHeight="1">
      <c r="A97" s="98"/>
      <c r="B97" s="98"/>
      <c r="C97" s="98"/>
      <c r="D97" s="98"/>
      <c r="E97" s="98"/>
      <c r="F97" s="98"/>
      <c r="G97" s="98"/>
      <c r="H97" s="98"/>
      <c r="I97" s="99"/>
      <c r="J97" s="99"/>
      <c r="K97" s="99"/>
      <c r="L97" s="99"/>
      <c r="M97" s="99"/>
      <c r="N97" s="99"/>
      <c r="O97" s="99"/>
      <c r="P97" s="99"/>
      <c r="Q97" s="99"/>
      <c r="R97" s="99"/>
      <c r="S97" s="99"/>
      <c r="T97" s="99"/>
      <c r="U97" s="99"/>
      <c r="V97" s="99"/>
      <c r="W97" s="99"/>
      <c r="X97" s="99"/>
      <c r="Y97" s="98"/>
      <c r="Z97" s="98"/>
      <c r="AA97" s="98"/>
      <c r="AB97" s="98"/>
      <c r="AC97" s="98"/>
      <c r="AD97" s="98"/>
      <c r="AE97" s="98"/>
      <c r="AF97" s="98"/>
      <c r="AG97" s="98"/>
      <c r="AH97" s="98"/>
      <c r="AI97" s="98"/>
      <c r="AJ97" s="98"/>
      <c r="AK97" s="98"/>
      <c r="AL97" s="98"/>
      <c r="AM97" s="4"/>
      <c r="AN97" s="4"/>
      <c r="AO97" s="4"/>
      <c r="AP97" s="98"/>
      <c r="AQ97" s="4"/>
      <c r="AR97" s="4"/>
      <c r="AS97" s="4"/>
      <c r="AT97" s="98"/>
      <c r="AU97" s="98"/>
      <c r="AV97" s="98"/>
      <c r="AW97" s="98"/>
      <c r="AX97" s="98"/>
      <c r="AY97" s="98"/>
      <c r="AZ97" s="98"/>
      <c r="BA97" s="98"/>
      <c r="BB97" s="98"/>
      <c r="BC97" s="98"/>
      <c r="BD97" s="98"/>
      <c r="BE97" s="98"/>
      <c r="BF97" s="98"/>
      <c r="BG97" s="98"/>
      <c r="BH97" s="98"/>
      <c r="BI97" s="98"/>
      <c r="BJ97" s="98"/>
      <c r="BK97" s="98"/>
      <c r="BL97" s="98"/>
      <c r="BM97" s="98"/>
      <c r="BN97" s="98"/>
      <c r="BO97" s="98"/>
      <c r="BP97" s="98"/>
      <c r="BQ97" s="98"/>
      <c r="BR97" s="98"/>
      <c r="BS97" s="98"/>
      <c r="BT97" s="98"/>
      <c r="BU97" s="98"/>
      <c r="BV97" s="98"/>
      <c r="BW97" s="98"/>
      <c r="BX97" s="98"/>
      <c r="BY97" s="98"/>
      <c r="BZ97" s="98"/>
      <c r="CA97" s="98"/>
      <c r="CB97" s="98"/>
      <c r="CC97" s="98"/>
    </row>
    <row r="98" ht="15.75" customHeight="1">
      <c r="A98" s="98"/>
      <c r="B98" s="98"/>
      <c r="C98" s="98"/>
      <c r="D98" s="98"/>
      <c r="E98" s="98"/>
      <c r="F98" s="98"/>
      <c r="G98" s="98"/>
      <c r="H98" s="98"/>
      <c r="I98" s="99"/>
      <c r="J98" s="99"/>
      <c r="K98" s="99"/>
      <c r="L98" s="99"/>
      <c r="M98" s="99"/>
      <c r="N98" s="99"/>
      <c r="O98" s="99"/>
      <c r="P98" s="99"/>
      <c r="Q98" s="99"/>
      <c r="R98" s="99"/>
      <c r="S98" s="99"/>
      <c r="T98" s="99"/>
      <c r="U98" s="99"/>
      <c r="V98" s="99"/>
      <c r="W98" s="99"/>
      <c r="X98" s="99"/>
      <c r="Y98" s="98"/>
      <c r="Z98" s="98"/>
      <c r="AA98" s="98"/>
      <c r="AB98" s="98"/>
      <c r="AC98" s="98"/>
      <c r="AD98" s="98"/>
      <c r="AE98" s="98"/>
      <c r="AF98" s="98"/>
      <c r="AG98" s="98"/>
      <c r="AH98" s="98"/>
      <c r="AI98" s="98"/>
      <c r="AJ98" s="98"/>
      <c r="AK98" s="98"/>
      <c r="AL98" s="98"/>
      <c r="AM98" s="4"/>
      <c r="AN98" s="4"/>
      <c r="AO98" s="4"/>
      <c r="AP98" s="98"/>
      <c r="AQ98" s="4"/>
      <c r="AR98" s="4"/>
      <c r="AS98" s="4"/>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row>
    <row r="99" ht="15.75" customHeight="1">
      <c r="A99" s="98"/>
      <c r="B99" s="98"/>
      <c r="C99" s="98"/>
      <c r="D99" s="98"/>
      <c r="E99" s="98"/>
      <c r="F99" s="98"/>
      <c r="G99" s="98"/>
      <c r="H99" s="98"/>
      <c r="I99" s="99"/>
      <c r="J99" s="99"/>
      <c r="K99" s="99"/>
      <c r="L99" s="99"/>
      <c r="M99" s="99"/>
      <c r="N99" s="99"/>
      <c r="O99" s="99"/>
      <c r="P99" s="99"/>
      <c r="Q99" s="99"/>
      <c r="R99" s="99"/>
      <c r="S99" s="99"/>
      <c r="T99" s="99"/>
      <c r="U99" s="99"/>
      <c r="V99" s="99"/>
      <c r="W99" s="99"/>
      <c r="X99" s="99"/>
      <c r="Y99" s="98"/>
      <c r="Z99" s="98"/>
      <c r="AA99" s="98"/>
      <c r="AB99" s="98"/>
      <c r="AC99" s="98"/>
      <c r="AD99" s="98"/>
      <c r="AE99" s="98"/>
      <c r="AF99" s="98"/>
      <c r="AG99" s="98"/>
      <c r="AH99" s="98"/>
      <c r="AI99" s="98"/>
      <c r="AJ99" s="98"/>
      <c r="AK99" s="98"/>
      <c r="AL99" s="98"/>
      <c r="AM99" s="4"/>
      <c r="AN99" s="4"/>
      <c r="AO99" s="4"/>
      <c r="AP99" s="98"/>
      <c r="AQ99" s="4"/>
      <c r="AR99" s="4"/>
      <c r="AS99" s="4"/>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row>
    <row r="100" ht="15.75" customHeight="1">
      <c r="A100" s="98"/>
      <c r="B100" s="98"/>
      <c r="C100" s="98"/>
      <c r="D100" s="98"/>
      <c r="E100" s="98"/>
      <c r="F100" s="98"/>
      <c r="G100" s="98"/>
      <c r="H100" s="98"/>
      <c r="I100" s="99"/>
      <c r="J100" s="99"/>
      <c r="K100" s="99"/>
      <c r="L100" s="99"/>
      <c r="M100" s="99"/>
      <c r="N100" s="99"/>
      <c r="O100" s="99"/>
      <c r="P100" s="99"/>
      <c r="Q100" s="99"/>
      <c r="R100" s="99"/>
      <c r="S100" s="99"/>
      <c r="T100" s="99"/>
      <c r="U100" s="99"/>
      <c r="V100" s="99"/>
      <c r="W100" s="99"/>
      <c r="X100" s="99"/>
      <c r="Y100" s="98"/>
      <c r="Z100" s="98"/>
      <c r="AA100" s="98"/>
      <c r="AB100" s="98"/>
      <c r="AC100" s="98"/>
      <c r="AD100" s="98"/>
      <c r="AE100" s="98"/>
      <c r="AF100" s="98"/>
      <c r="AG100" s="98"/>
      <c r="AH100" s="98"/>
      <c r="AI100" s="98"/>
      <c r="AJ100" s="98"/>
      <c r="AK100" s="98"/>
      <c r="AL100" s="98"/>
      <c r="AM100" s="4"/>
      <c r="AN100" s="4"/>
      <c r="AO100" s="4"/>
      <c r="AP100" s="98"/>
      <c r="AQ100" s="4"/>
      <c r="AR100" s="4"/>
      <c r="AS100" s="4"/>
      <c r="AT100" s="98"/>
      <c r="AU100" s="98"/>
      <c r="AV100" s="98"/>
      <c r="AW100" s="98"/>
      <c r="AX100" s="98"/>
      <c r="AY100" s="98"/>
      <c r="AZ100" s="98"/>
      <c r="BA100" s="98"/>
      <c r="BB100" s="98"/>
      <c r="BC100" s="98"/>
      <c r="BD100" s="98"/>
      <c r="BE100" s="98"/>
      <c r="BF100" s="98"/>
      <c r="BG100" s="98"/>
      <c r="BH100" s="98"/>
      <c r="BI100" s="98"/>
      <c r="BJ100" s="98"/>
      <c r="BK100" s="98"/>
      <c r="BL100" s="98"/>
      <c r="BM100" s="98"/>
      <c r="BN100" s="98"/>
      <c r="BO100" s="98"/>
      <c r="BP100" s="98"/>
      <c r="BQ100" s="98"/>
      <c r="BR100" s="98"/>
      <c r="BS100" s="98"/>
      <c r="BT100" s="98"/>
      <c r="BU100" s="98"/>
      <c r="BV100" s="98"/>
      <c r="BW100" s="98"/>
      <c r="BX100" s="98"/>
      <c r="BY100" s="98"/>
      <c r="BZ100" s="98"/>
      <c r="CA100" s="98"/>
      <c r="CB100" s="98"/>
      <c r="CC100" s="98"/>
    </row>
    <row r="101" ht="15.75" customHeight="1">
      <c r="A101" s="98"/>
      <c r="B101" s="98"/>
      <c r="C101" s="98"/>
      <c r="D101" s="98"/>
      <c r="E101" s="98"/>
      <c r="F101" s="98"/>
      <c r="G101" s="98"/>
      <c r="H101" s="98"/>
      <c r="I101" s="99"/>
      <c r="J101" s="99"/>
      <c r="K101" s="99"/>
      <c r="L101" s="99"/>
      <c r="M101" s="99"/>
      <c r="N101" s="99"/>
      <c r="O101" s="99"/>
      <c r="P101" s="99"/>
      <c r="Q101" s="99"/>
      <c r="R101" s="99"/>
      <c r="S101" s="99"/>
      <c r="T101" s="99"/>
      <c r="U101" s="99"/>
      <c r="V101" s="99"/>
      <c r="W101" s="99"/>
      <c r="X101" s="99"/>
      <c r="Y101" s="98"/>
      <c r="Z101" s="98"/>
      <c r="AA101" s="98"/>
      <c r="AB101" s="98"/>
      <c r="AC101" s="98"/>
      <c r="AD101" s="98"/>
      <c r="AE101" s="98"/>
      <c r="AF101" s="98"/>
      <c r="AG101" s="98"/>
      <c r="AH101" s="98"/>
      <c r="AI101" s="98"/>
      <c r="AJ101" s="98"/>
      <c r="AK101" s="98"/>
      <c r="AL101" s="98"/>
      <c r="AM101" s="4"/>
      <c r="AN101" s="4"/>
      <c r="AO101" s="4"/>
      <c r="AP101" s="98"/>
      <c r="AQ101" s="4"/>
      <c r="AR101" s="4"/>
      <c r="AS101" s="4"/>
      <c r="AT101" s="98"/>
      <c r="AU101" s="98"/>
      <c r="AV101" s="98"/>
      <c r="AW101" s="98"/>
      <c r="AX101" s="98"/>
      <c r="AY101" s="98"/>
      <c r="AZ101" s="98"/>
      <c r="BA101" s="98"/>
      <c r="BB101" s="98"/>
      <c r="BC101" s="98"/>
      <c r="BD101" s="98"/>
      <c r="BE101" s="98"/>
      <c r="BF101" s="98"/>
      <c r="BG101" s="98"/>
      <c r="BH101" s="98"/>
      <c r="BI101" s="98"/>
      <c r="BJ101" s="98"/>
      <c r="BK101" s="98"/>
      <c r="BL101" s="98"/>
      <c r="BM101" s="98"/>
      <c r="BN101" s="98"/>
      <c r="BO101" s="98"/>
      <c r="BP101" s="98"/>
      <c r="BQ101" s="98"/>
      <c r="BR101" s="98"/>
      <c r="BS101" s="98"/>
      <c r="BT101" s="98"/>
      <c r="BU101" s="98"/>
      <c r="BV101" s="98"/>
      <c r="BW101" s="98"/>
      <c r="BX101" s="98"/>
      <c r="BY101" s="98"/>
      <c r="BZ101" s="98"/>
      <c r="CA101" s="98"/>
      <c r="CB101" s="98"/>
      <c r="CC101" s="98"/>
    </row>
    <row r="102" ht="15.75" customHeight="1">
      <c r="A102" s="98"/>
      <c r="B102" s="98"/>
      <c r="C102" s="98"/>
      <c r="D102" s="98"/>
      <c r="E102" s="98"/>
      <c r="F102" s="98"/>
      <c r="G102" s="98"/>
      <c r="H102" s="98"/>
      <c r="I102" s="99"/>
      <c r="J102" s="99"/>
      <c r="K102" s="99"/>
      <c r="L102" s="99"/>
      <c r="M102" s="99"/>
      <c r="N102" s="99"/>
      <c r="O102" s="99"/>
      <c r="P102" s="99"/>
      <c r="Q102" s="99"/>
      <c r="R102" s="99"/>
      <c r="S102" s="99"/>
      <c r="T102" s="99"/>
      <c r="U102" s="99"/>
      <c r="V102" s="99"/>
      <c r="W102" s="99"/>
      <c r="X102" s="99"/>
      <c r="Y102" s="98"/>
      <c r="Z102" s="98"/>
      <c r="AA102" s="98"/>
      <c r="AB102" s="98"/>
      <c r="AC102" s="98"/>
      <c r="AD102" s="98"/>
      <c r="AE102" s="98"/>
      <c r="AF102" s="98"/>
      <c r="AG102" s="98"/>
      <c r="AH102" s="98"/>
      <c r="AI102" s="98"/>
      <c r="AJ102" s="98"/>
      <c r="AK102" s="98"/>
      <c r="AL102" s="98"/>
      <c r="AM102" s="4"/>
      <c r="AN102" s="4"/>
      <c r="AO102" s="4"/>
      <c r="AP102" s="98"/>
      <c r="AQ102" s="4"/>
      <c r="AR102" s="4"/>
      <c r="AS102" s="4"/>
      <c r="AT102" s="98"/>
      <c r="AU102" s="98"/>
      <c r="AV102" s="98"/>
      <c r="AW102" s="98"/>
      <c r="AX102" s="98"/>
      <c r="AY102" s="98"/>
      <c r="AZ102" s="98"/>
      <c r="BA102" s="98"/>
      <c r="BB102" s="98"/>
      <c r="BC102" s="98"/>
      <c r="BD102" s="98"/>
      <c r="BE102" s="98"/>
      <c r="BF102" s="98"/>
      <c r="BG102" s="98"/>
      <c r="BH102" s="98"/>
      <c r="BI102" s="98"/>
      <c r="BJ102" s="98"/>
      <c r="BK102" s="98"/>
      <c r="BL102" s="98"/>
      <c r="BM102" s="98"/>
      <c r="BN102" s="98"/>
      <c r="BO102" s="98"/>
      <c r="BP102" s="98"/>
      <c r="BQ102" s="98"/>
      <c r="BR102" s="98"/>
      <c r="BS102" s="98"/>
      <c r="BT102" s="98"/>
      <c r="BU102" s="98"/>
      <c r="BV102" s="98"/>
      <c r="BW102" s="98"/>
      <c r="BX102" s="98"/>
      <c r="BY102" s="98"/>
      <c r="BZ102" s="98"/>
      <c r="CA102" s="98"/>
      <c r="CB102" s="98"/>
      <c r="CC102" s="98"/>
    </row>
    <row r="103" ht="15.75" customHeight="1">
      <c r="A103" s="98"/>
      <c r="B103" s="98"/>
      <c r="C103" s="98"/>
      <c r="D103" s="98"/>
      <c r="E103" s="98"/>
      <c r="F103" s="98"/>
      <c r="G103" s="98"/>
      <c r="H103" s="98"/>
      <c r="I103" s="99"/>
      <c r="J103" s="99"/>
      <c r="K103" s="99"/>
      <c r="L103" s="99"/>
      <c r="M103" s="99"/>
      <c r="N103" s="99"/>
      <c r="O103" s="99"/>
      <c r="P103" s="99"/>
      <c r="Q103" s="99"/>
      <c r="R103" s="99"/>
      <c r="S103" s="99"/>
      <c r="T103" s="99"/>
      <c r="U103" s="99"/>
      <c r="V103" s="99"/>
      <c r="W103" s="99"/>
      <c r="X103" s="99"/>
      <c r="Y103" s="98"/>
      <c r="Z103" s="98"/>
      <c r="AA103" s="98"/>
      <c r="AB103" s="98"/>
      <c r="AC103" s="98"/>
      <c r="AD103" s="98"/>
      <c r="AE103" s="98"/>
      <c r="AF103" s="98"/>
      <c r="AG103" s="98"/>
      <c r="AH103" s="98"/>
      <c r="AI103" s="98"/>
      <c r="AJ103" s="98"/>
      <c r="AK103" s="98"/>
      <c r="AL103" s="98"/>
      <c r="AM103" s="4"/>
      <c r="AN103" s="4"/>
      <c r="AO103" s="4"/>
      <c r="AP103" s="98"/>
      <c r="AQ103" s="4"/>
      <c r="AR103" s="4"/>
      <c r="AS103" s="4"/>
      <c r="AT103" s="98"/>
      <c r="AU103" s="98"/>
      <c r="AV103" s="98"/>
      <c r="AW103" s="98"/>
      <c r="AX103" s="98"/>
      <c r="AY103" s="98"/>
      <c r="AZ103" s="98"/>
      <c r="BA103" s="98"/>
      <c r="BB103" s="98"/>
      <c r="BC103" s="98"/>
      <c r="BD103" s="98"/>
      <c r="BE103" s="98"/>
      <c r="BF103" s="98"/>
      <c r="BG103" s="98"/>
      <c r="BH103" s="98"/>
      <c r="BI103" s="98"/>
      <c r="BJ103" s="98"/>
      <c r="BK103" s="98"/>
      <c r="BL103" s="98"/>
      <c r="BM103" s="98"/>
      <c r="BN103" s="98"/>
      <c r="BO103" s="98"/>
      <c r="BP103" s="98"/>
      <c r="BQ103" s="98"/>
      <c r="BR103" s="98"/>
      <c r="BS103" s="98"/>
      <c r="BT103" s="98"/>
      <c r="BU103" s="98"/>
      <c r="BV103" s="98"/>
      <c r="BW103" s="98"/>
      <c r="BX103" s="98"/>
      <c r="BY103" s="98"/>
      <c r="BZ103" s="98"/>
      <c r="CA103" s="98"/>
      <c r="CB103" s="98"/>
      <c r="CC103" s="98"/>
    </row>
    <row r="104" ht="15.75" customHeight="1">
      <c r="A104" s="98"/>
      <c r="B104" s="98"/>
      <c r="C104" s="98"/>
      <c r="D104" s="98"/>
      <c r="E104" s="98"/>
      <c r="F104" s="98"/>
      <c r="G104" s="98"/>
      <c r="H104" s="98"/>
      <c r="I104" s="99"/>
      <c r="J104" s="99"/>
      <c r="K104" s="99"/>
      <c r="L104" s="99"/>
      <c r="M104" s="99"/>
      <c r="N104" s="99"/>
      <c r="O104" s="99"/>
      <c r="P104" s="99"/>
      <c r="Q104" s="99"/>
      <c r="R104" s="99"/>
      <c r="S104" s="99"/>
      <c r="T104" s="99"/>
      <c r="U104" s="99"/>
      <c r="V104" s="99"/>
      <c r="W104" s="99"/>
      <c r="X104" s="99"/>
      <c r="Y104" s="98"/>
      <c r="Z104" s="98"/>
      <c r="AA104" s="98"/>
      <c r="AB104" s="98"/>
      <c r="AC104" s="98"/>
      <c r="AD104" s="98"/>
      <c r="AE104" s="98"/>
      <c r="AF104" s="98"/>
      <c r="AG104" s="98"/>
      <c r="AH104" s="98"/>
      <c r="AI104" s="98"/>
      <c r="AJ104" s="98"/>
      <c r="AK104" s="98"/>
      <c r="AL104" s="98"/>
      <c r="AM104" s="4"/>
      <c r="AN104" s="4"/>
      <c r="AO104" s="4"/>
      <c r="AP104" s="98"/>
      <c r="AQ104" s="4"/>
      <c r="AR104" s="4"/>
      <c r="AS104" s="4"/>
      <c r="AT104" s="98"/>
      <c r="AU104" s="98"/>
      <c r="AV104" s="98"/>
      <c r="AW104" s="98"/>
      <c r="AX104" s="98"/>
      <c r="AY104" s="98"/>
      <c r="AZ104" s="98"/>
      <c r="BA104" s="98"/>
      <c r="BB104" s="98"/>
      <c r="BC104" s="98"/>
      <c r="BD104" s="98"/>
      <c r="BE104" s="98"/>
      <c r="BF104" s="98"/>
      <c r="BG104" s="98"/>
      <c r="BH104" s="98"/>
      <c r="BI104" s="98"/>
      <c r="BJ104" s="98"/>
      <c r="BK104" s="98"/>
      <c r="BL104" s="98"/>
      <c r="BM104" s="98"/>
      <c r="BN104" s="98"/>
      <c r="BO104" s="98"/>
      <c r="BP104" s="98"/>
      <c r="BQ104" s="98"/>
      <c r="BR104" s="98"/>
      <c r="BS104" s="98"/>
      <c r="BT104" s="98"/>
      <c r="BU104" s="98"/>
      <c r="BV104" s="98"/>
      <c r="BW104" s="98"/>
      <c r="BX104" s="98"/>
      <c r="BY104" s="98"/>
      <c r="BZ104" s="98"/>
      <c r="CA104" s="98"/>
      <c r="CB104" s="98"/>
      <c r="CC104" s="98"/>
    </row>
    <row r="105" ht="15.75" customHeight="1">
      <c r="A105" s="98"/>
      <c r="B105" s="98"/>
      <c r="C105" s="98"/>
      <c r="D105" s="98"/>
      <c r="E105" s="98"/>
      <c r="F105" s="98"/>
      <c r="G105" s="98"/>
      <c r="H105" s="98"/>
      <c r="I105" s="99"/>
      <c r="J105" s="99"/>
      <c r="K105" s="99"/>
      <c r="L105" s="99"/>
      <c r="M105" s="99"/>
      <c r="N105" s="99"/>
      <c r="O105" s="99"/>
      <c r="P105" s="99"/>
      <c r="Q105" s="99"/>
      <c r="R105" s="99"/>
      <c r="S105" s="99"/>
      <c r="T105" s="99"/>
      <c r="U105" s="99"/>
      <c r="V105" s="99"/>
      <c r="W105" s="99"/>
      <c r="X105" s="99"/>
      <c r="Y105" s="98"/>
      <c r="Z105" s="98"/>
      <c r="AA105" s="98"/>
      <c r="AB105" s="98"/>
      <c r="AC105" s="98"/>
      <c r="AD105" s="98"/>
      <c r="AE105" s="98"/>
      <c r="AF105" s="98"/>
      <c r="AG105" s="98"/>
      <c r="AH105" s="98"/>
      <c r="AI105" s="98"/>
      <c r="AJ105" s="98"/>
      <c r="AK105" s="98"/>
      <c r="AL105" s="98"/>
      <c r="AM105" s="4"/>
      <c r="AN105" s="4"/>
      <c r="AO105" s="4"/>
      <c r="AP105" s="98"/>
      <c r="AQ105" s="4"/>
      <c r="AR105" s="4"/>
      <c r="AS105" s="4"/>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row>
    <row r="106" ht="15.75" customHeight="1">
      <c r="A106" s="98"/>
      <c r="B106" s="98"/>
      <c r="C106" s="98"/>
      <c r="D106" s="98"/>
      <c r="E106" s="98"/>
      <c r="F106" s="98"/>
      <c r="G106" s="98"/>
      <c r="H106" s="98"/>
      <c r="I106" s="99"/>
      <c r="J106" s="99"/>
      <c r="K106" s="99"/>
      <c r="L106" s="99"/>
      <c r="M106" s="99"/>
      <c r="N106" s="99"/>
      <c r="O106" s="99"/>
      <c r="P106" s="99"/>
      <c r="Q106" s="99"/>
      <c r="R106" s="99"/>
      <c r="S106" s="99"/>
      <c r="T106" s="99"/>
      <c r="U106" s="99"/>
      <c r="V106" s="99"/>
      <c r="W106" s="99"/>
      <c r="X106" s="99"/>
      <c r="Y106" s="98"/>
      <c r="Z106" s="98"/>
      <c r="AA106" s="98"/>
      <c r="AB106" s="98"/>
      <c r="AC106" s="98"/>
      <c r="AD106" s="98"/>
      <c r="AE106" s="98"/>
      <c r="AF106" s="98"/>
      <c r="AG106" s="98"/>
      <c r="AH106" s="98"/>
      <c r="AI106" s="98"/>
      <c r="AJ106" s="98"/>
      <c r="AK106" s="98"/>
      <c r="AL106" s="98"/>
      <c r="AM106" s="4"/>
      <c r="AN106" s="4"/>
      <c r="AO106" s="4"/>
      <c r="AP106" s="98"/>
      <c r="AQ106" s="4"/>
      <c r="AR106" s="4"/>
      <c r="AS106" s="4"/>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row>
    <row r="107" ht="15.75" customHeight="1">
      <c r="A107" s="98"/>
      <c r="B107" s="98"/>
      <c r="C107" s="98"/>
      <c r="D107" s="98"/>
      <c r="E107" s="98"/>
      <c r="F107" s="98"/>
      <c r="G107" s="98"/>
      <c r="H107" s="98"/>
      <c r="I107" s="99"/>
      <c r="J107" s="99"/>
      <c r="K107" s="99"/>
      <c r="L107" s="99"/>
      <c r="M107" s="99"/>
      <c r="N107" s="99"/>
      <c r="O107" s="99"/>
      <c r="P107" s="99"/>
      <c r="Q107" s="99"/>
      <c r="R107" s="99"/>
      <c r="S107" s="99"/>
      <c r="T107" s="99"/>
      <c r="U107" s="99"/>
      <c r="V107" s="99"/>
      <c r="W107" s="99"/>
      <c r="X107" s="99"/>
      <c r="Y107" s="98"/>
      <c r="Z107" s="98"/>
      <c r="AA107" s="98"/>
      <c r="AB107" s="98"/>
      <c r="AC107" s="98"/>
      <c r="AD107" s="98"/>
      <c r="AE107" s="98"/>
      <c r="AF107" s="98"/>
      <c r="AG107" s="98"/>
      <c r="AH107" s="98"/>
      <c r="AI107" s="98"/>
      <c r="AJ107" s="98"/>
      <c r="AK107" s="98"/>
      <c r="AL107" s="98"/>
      <c r="AM107" s="4"/>
      <c r="AN107" s="4"/>
      <c r="AO107" s="4"/>
      <c r="AP107" s="98"/>
      <c r="AQ107" s="4"/>
      <c r="AR107" s="4"/>
      <c r="AS107" s="4"/>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row>
    <row r="108" ht="15.75" customHeight="1">
      <c r="A108" s="98"/>
      <c r="B108" s="98"/>
      <c r="C108" s="98"/>
      <c r="D108" s="98"/>
      <c r="E108" s="98"/>
      <c r="F108" s="98"/>
      <c r="G108" s="98"/>
      <c r="H108" s="98"/>
      <c r="I108" s="99"/>
      <c r="J108" s="99"/>
      <c r="K108" s="99"/>
      <c r="L108" s="99"/>
      <c r="M108" s="99"/>
      <c r="N108" s="99"/>
      <c r="O108" s="99"/>
      <c r="P108" s="99"/>
      <c r="Q108" s="99"/>
      <c r="R108" s="99"/>
      <c r="S108" s="99"/>
      <c r="T108" s="99"/>
      <c r="U108" s="99"/>
      <c r="V108" s="99"/>
      <c r="W108" s="99"/>
      <c r="X108" s="99"/>
      <c r="Y108" s="98"/>
      <c r="Z108" s="98"/>
      <c r="AA108" s="98"/>
      <c r="AB108" s="98"/>
      <c r="AC108" s="98"/>
      <c r="AD108" s="98"/>
      <c r="AE108" s="98"/>
      <c r="AF108" s="98"/>
      <c r="AG108" s="98"/>
      <c r="AH108" s="98"/>
      <c r="AI108" s="98"/>
      <c r="AJ108" s="98"/>
      <c r="AK108" s="98"/>
      <c r="AL108" s="98"/>
      <c r="AM108" s="4"/>
      <c r="AN108" s="4"/>
      <c r="AO108" s="4"/>
      <c r="AP108" s="98"/>
      <c r="AQ108" s="4"/>
      <c r="AR108" s="4"/>
      <c r="AS108" s="4"/>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row>
    <row r="109" ht="15.75" customHeight="1">
      <c r="A109" s="98"/>
      <c r="B109" s="98"/>
      <c r="C109" s="98"/>
      <c r="D109" s="98"/>
      <c r="E109" s="98"/>
      <c r="F109" s="98"/>
      <c r="G109" s="98"/>
      <c r="H109" s="98"/>
      <c r="I109" s="99"/>
      <c r="J109" s="99"/>
      <c r="K109" s="99"/>
      <c r="L109" s="99"/>
      <c r="M109" s="99"/>
      <c r="N109" s="99"/>
      <c r="O109" s="99"/>
      <c r="P109" s="99"/>
      <c r="Q109" s="99"/>
      <c r="R109" s="99"/>
      <c r="S109" s="99"/>
      <c r="T109" s="99"/>
      <c r="U109" s="99"/>
      <c r="V109" s="99"/>
      <c r="W109" s="99"/>
      <c r="X109" s="99"/>
      <c r="Y109" s="98"/>
      <c r="Z109" s="98"/>
      <c r="AA109" s="98"/>
      <c r="AB109" s="98"/>
      <c r="AC109" s="98"/>
      <c r="AD109" s="98"/>
      <c r="AE109" s="98"/>
      <c r="AF109" s="98"/>
      <c r="AG109" s="98"/>
      <c r="AH109" s="98"/>
      <c r="AI109" s="98"/>
      <c r="AJ109" s="98"/>
      <c r="AK109" s="98"/>
      <c r="AL109" s="98"/>
      <c r="AM109" s="4"/>
      <c r="AN109" s="4"/>
      <c r="AO109" s="4"/>
      <c r="AP109" s="98"/>
      <c r="AQ109" s="4"/>
      <c r="AR109" s="4"/>
      <c r="AS109" s="4"/>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row>
    <row r="110" ht="15.75" customHeight="1">
      <c r="A110" s="98"/>
      <c r="B110" s="98"/>
      <c r="C110" s="98"/>
      <c r="D110" s="98"/>
      <c r="E110" s="98"/>
      <c r="F110" s="98"/>
      <c r="G110" s="98"/>
      <c r="H110" s="98"/>
      <c r="I110" s="99"/>
      <c r="J110" s="99"/>
      <c r="K110" s="99"/>
      <c r="L110" s="99"/>
      <c r="M110" s="99"/>
      <c r="N110" s="99"/>
      <c r="O110" s="99"/>
      <c r="P110" s="99"/>
      <c r="Q110" s="99"/>
      <c r="R110" s="99"/>
      <c r="S110" s="99"/>
      <c r="T110" s="99"/>
      <c r="U110" s="99"/>
      <c r="V110" s="99"/>
      <c r="W110" s="99"/>
      <c r="X110" s="99"/>
      <c r="Y110" s="98"/>
      <c r="Z110" s="98"/>
      <c r="AA110" s="98"/>
      <c r="AB110" s="98"/>
      <c r="AC110" s="98"/>
      <c r="AD110" s="98"/>
      <c r="AE110" s="98"/>
      <c r="AF110" s="98"/>
      <c r="AG110" s="98"/>
      <c r="AH110" s="98"/>
      <c r="AI110" s="98"/>
      <c r="AJ110" s="98"/>
      <c r="AK110" s="98"/>
      <c r="AL110" s="98"/>
      <c r="AM110" s="4"/>
      <c r="AN110" s="4"/>
      <c r="AO110" s="4"/>
      <c r="AP110" s="98"/>
      <c r="AQ110" s="4"/>
      <c r="AR110" s="4"/>
      <c r="AS110" s="4"/>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row>
    <row r="111" ht="15.75" customHeight="1">
      <c r="A111" s="98"/>
      <c r="B111" s="98"/>
      <c r="C111" s="98"/>
      <c r="D111" s="98"/>
      <c r="E111" s="98"/>
      <c r="F111" s="98"/>
      <c r="G111" s="98"/>
      <c r="H111" s="98"/>
      <c r="I111" s="99"/>
      <c r="J111" s="99"/>
      <c r="K111" s="99"/>
      <c r="L111" s="99"/>
      <c r="M111" s="99"/>
      <c r="N111" s="99"/>
      <c r="O111" s="99"/>
      <c r="P111" s="99"/>
      <c r="Q111" s="99"/>
      <c r="R111" s="99"/>
      <c r="S111" s="99"/>
      <c r="T111" s="99"/>
      <c r="U111" s="99"/>
      <c r="V111" s="99"/>
      <c r="W111" s="99"/>
      <c r="X111" s="99"/>
      <c r="Y111" s="98"/>
      <c r="Z111" s="98"/>
      <c r="AA111" s="98"/>
      <c r="AB111" s="98"/>
      <c r="AC111" s="98"/>
      <c r="AD111" s="98"/>
      <c r="AE111" s="98"/>
      <c r="AF111" s="98"/>
      <c r="AG111" s="98"/>
      <c r="AH111" s="98"/>
      <c r="AI111" s="98"/>
      <c r="AJ111" s="98"/>
      <c r="AK111" s="98"/>
      <c r="AL111" s="98"/>
      <c r="AM111" s="4"/>
      <c r="AN111" s="4"/>
      <c r="AO111" s="4"/>
      <c r="AP111" s="98"/>
      <c r="AQ111" s="4"/>
      <c r="AR111" s="4"/>
      <c r="AS111" s="4"/>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row>
    <row r="112" ht="15.75" customHeight="1">
      <c r="A112" s="98"/>
      <c r="B112" s="98"/>
      <c r="C112" s="98"/>
      <c r="D112" s="98"/>
      <c r="E112" s="98"/>
      <c r="F112" s="98"/>
      <c r="G112" s="98"/>
      <c r="H112" s="98"/>
      <c r="I112" s="99"/>
      <c r="J112" s="99"/>
      <c r="K112" s="99"/>
      <c r="L112" s="99"/>
      <c r="M112" s="99"/>
      <c r="N112" s="99"/>
      <c r="O112" s="99"/>
      <c r="P112" s="99"/>
      <c r="Q112" s="99"/>
      <c r="R112" s="99"/>
      <c r="S112" s="99"/>
      <c r="T112" s="99"/>
      <c r="U112" s="99"/>
      <c r="V112" s="99"/>
      <c r="W112" s="99"/>
      <c r="X112" s="99"/>
      <c r="Y112" s="98"/>
      <c r="Z112" s="98"/>
      <c r="AA112" s="98"/>
      <c r="AB112" s="98"/>
      <c r="AC112" s="98"/>
      <c r="AD112" s="98"/>
      <c r="AE112" s="98"/>
      <c r="AF112" s="98"/>
      <c r="AG112" s="98"/>
      <c r="AH112" s="98"/>
      <c r="AI112" s="98"/>
      <c r="AJ112" s="98"/>
      <c r="AK112" s="98"/>
      <c r="AL112" s="98"/>
      <c r="AM112" s="4"/>
      <c r="AN112" s="4"/>
      <c r="AO112" s="4"/>
      <c r="AP112" s="98"/>
      <c r="AQ112" s="4"/>
      <c r="AR112" s="4"/>
      <c r="AS112" s="4"/>
      <c r="AT112" s="98"/>
      <c r="AU112" s="98"/>
      <c r="AV112" s="98"/>
      <c r="AW112" s="98"/>
      <c r="AX112" s="98"/>
      <c r="AY112" s="98"/>
      <c r="AZ112" s="98"/>
      <c r="BA112" s="98"/>
      <c r="BB112" s="98"/>
      <c r="BC112" s="98"/>
      <c r="BD112" s="98"/>
      <c r="BE112" s="98"/>
      <c r="BF112" s="98"/>
      <c r="BG112" s="98"/>
      <c r="BH112" s="98"/>
      <c r="BI112" s="98"/>
      <c r="BJ112" s="98"/>
      <c r="BK112" s="98"/>
      <c r="BL112" s="98"/>
      <c r="BM112" s="98"/>
      <c r="BN112" s="98"/>
      <c r="BO112" s="98"/>
      <c r="BP112" s="98"/>
      <c r="BQ112" s="98"/>
      <c r="BR112" s="98"/>
      <c r="BS112" s="98"/>
      <c r="BT112" s="98"/>
      <c r="BU112" s="98"/>
      <c r="BV112" s="98"/>
      <c r="BW112" s="98"/>
      <c r="BX112" s="98"/>
      <c r="BY112" s="98"/>
      <c r="BZ112" s="98"/>
      <c r="CA112" s="98"/>
      <c r="CB112" s="98"/>
      <c r="CC112" s="98"/>
    </row>
    <row r="113" ht="15.75" customHeight="1">
      <c r="A113" s="98"/>
      <c r="B113" s="98"/>
      <c r="C113" s="98"/>
      <c r="D113" s="98"/>
      <c r="E113" s="98"/>
      <c r="F113" s="98"/>
      <c r="G113" s="98"/>
      <c r="H113" s="98"/>
      <c r="I113" s="99"/>
      <c r="J113" s="99"/>
      <c r="K113" s="99"/>
      <c r="L113" s="99"/>
      <c r="M113" s="99"/>
      <c r="N113" s="99"/>
      <c r="O113" s="99"/>
      <c r="P113" s="99"/>
      <c r="Q113" s="99"/>
      <c r="R113" s="99"/>
      <c r="S113" s="99"/>
      <c r="T113" s="99"/>
      <c r="U113" s="99"/>
      <c r="V113" s="99"/>
      <c r="W113" s="99"/>
      <c r="X113" s="99"/>
      <c r="Y113" s="98"/>
      <c r="Z113" s="98"/>
      <c r="AA113" s="98"/>
      <c r="AB113" s="98"/>
      <c r="AC113" s="98"/>
      <c r="AD113" s="98"/>
      <c r="AE113" s="98"/>
      <c r="AF113" s="98"/>
      <c r="AG113" s="98"/>
      <c r="AH113" s="98"/>
      <c r="AI113" s="98"/>
      <c r="AJ113" s="98"/>
      <c r="AK113" s="98"/>
      <c r="AL113" s="98"/>
      <c r="AM113" s="4"/>
      <c r="AN113" s="4"/>
      <c r="AO113" s="4"/>
      <c r="AP113" s="98"/>
      <c r="AQ113" s="4"/>
      <c r="AR113" s="4"/>
      <c r="AS113" s="4"/>
      <c r="AT113" s="98"/>
      <c r="AU113" s="98"/>
      <c r="AV113" s="98"/>
      <c r="AW113" s="98"/>
      <c r="AX113" s="98"/>
      <c r="AY113" s="98"/>
      <c r="AZ113" s="98"/>
      <c r="BA113" s="98"/>
      <c r="BB113" s="98"/>
      <c r="BC113" s="98"/>
      <c r="BD113" s="98"/>
      <c r="BE113" s="98"/>
      <c r="BF113" s="98"/>
      <c r="BG113" s="98"/>
      <c r="BH113" s="98"/>
      <c r="BI113" s="98"/>
      <c r="BJ113" s="98"/>
      <c r="BK113" s="98"/>
      <c r="BL113" s="98"/>
      <c r="BM113" s="98"/>
      <c r="BN113" s="98"/>
      <c r="BO113" s="98"/>
      <c r="BP113" s="98"/>
      <c r="BQ113" s="98"/>
      <c r="BR113" s="98"/>
      <c r="BS113" s="98"/>
      <c r="BT113" s="98"/>
      <c r="BU113" s="98"/>
      <c r="BV113" s="98"/>
      <c r="BW113" s="98"/>
      <c r="BX113" s="98"/>
      <c r="BY113" s="98"/>
      <c r="BZ113" s="98"/>
      <c r="CA113" s="98"/>
      <c r="CB113" s="98"/>
      <c r="CC113" s="98"/>
    </row>
    <row r="114" ht="15.75" customHeight="1">
      <c r="A114" s="98"/>
      <c r="B114" s="98"/>
      <c r="C114" s="98"/>
      <c r="D114" s="98"/>
      <c r="E114" s="98"/>
      <c r="F114" s="98"/>
      <c r="G114" s="98"/>
      <c r="H114" s="98"/>
      <c r="I114" s="99"/>
      <c r="J114" s="99"/>
      <c r="K114" s="99"/>
      <c r="L114" s="99"/>
      <c r="M114" s="99"/>
      <c r="N114" s="99"/>
      <c r="O114" s="99"/>
      <c r="P114" s="99"/>
      <c r="Q114" s="99"/>
      <c r="R114" s="99"/>
      <c r="S114" s="99"/>
      <c r="T114" s="99"/>
      <c r="U114" s="99"/>
      <c r="V114" s="99"/>
      <c r="W114" s="99"/>
      <c r="X114" s="99"/>
      <c r="Y114" s="98"/>
      <c r="Z114" s="98"/>
      <c r="AA114" s="98"/>
      <c r="AB114" s="98"/>
      <c r="AC114" s="98"/>
      <c r="AD114" s="98"/>
      <c r="AE114" s="98"/>
      <c r="AF114" s="98"/>
      <c r="AG114" s="98"/>
      <c r="AH114" s="98"/>
      <c r="AI114" s="98"/>
      <c r="AJ114" s="98"/>
      <c r="AK114" s="98"/>
      <c r="AL114" s="98"/>
      <c r="AM114" s="4"/>
      <c r="AN114" s="4"/>
      <c r="AO114" s="4"/>
      <c r="AP114" s="98"/>
      <c r="AQ114" s="4"/>
      <c r="AR114" s="4"/>
      <c r="AS114" s="4"/>
      <c r="AT114" s="98"/>
      <c r="AU114" s="98"/>
      <c r="AV114" s="98"/>
      <c r="AW114" s="98"/>
      <c r="AX114" s="98"/>
      <c r="AY114" s="98"/>
      <c r="AZ114" s="98"/>
      <c r="BA114" s="98"/>
      <c r="BB114" s="98"/>
      <c r="BC114" s="98"/>
      <c r="BD114" s="98"/>
      <c r="BE114" s="98"/>
      <c r="BF114" s="98"/>
      <c r="BG114" s="98"/>
      <c r="BH114" s="98"/>
      <c r="BI114" s="98"/>
      <c r="BJ114" s="98"/>
      <c r="BK114" s="98"/>
      <c r="BL114" s="98"/>
      <c r="BM114" s="98"/>
      <c r="BN114" s="98"/>
      <c r="BO114" s="98"/>
      <c r="BP114" s="98"/>
      <c r="BQ114" s="98"/>
      <c r="BR114" s="98"/>
      <c r="BS114" s="98"/>
      <c r="BT114" s="98"/>
      <c r="BU114" s="98"/>
      <c r="BV114" s="98"/>
      <c r="BW114" s="98"/>
      <c r="BX114" s="98"/>
      <c r="BY114" s="98"/>
      <c r="BZ114" s="98"/>
      <c r="CA114" s="98"/>
      <c r="CB114" s="98"/>
      <c r="CC114" s="98"/>
    </row>
    <row r="115" ht="15.75" customHeight="1">
      <c r="A115" s="98"/>
      <c r="B115" s="98"/>
      <c r="C115" s="98"/>
      <c r="D115" s="98"/>
      <c r="E115" s="98"/>
      <c r="F115" s="98"/>
      <c r="G115" s="98"/>
      <c r="H115" s="98"/>
      <c r="I115" s="99"/>
      <c r="J115" s="99"/>
      <c r="K115" s="99"/>
      <c r="L115" s="99"/>
      <c r="M115" s="99"/>
      <c r="N115" s="99"/>
      <c r="O115" s="99"/>
      <c r="P115" s="99"/>
      <c r="Q115" s="99"/>
      <c r="R115" s="99"/>
      <c r="S115" s="99"/>
      <c r="T115" s="99"/>
      <c r="U115" s="99"/>
      <c r="V115" s="99"/>
      <c r="W115" s="99"/>
      <c r="X115" s="99"/>
      <c r="Y115" s="98"/>
      <c r="Z115" s="98"/>
      <c r="AA115" s="98"/>
      <c r="AB115" s="98"/>
      <c r="AC115" s="98"/>
      <c r="AD115" s="98"/>
      <c r="AE115" s="98"/>
      <c r="AF115" s="98"/>
      <c r="AG115" s="98"/>
      <c r="AH115" s="98"/>
      <c r="AI115" s="98"/>
      <c r="AJ115" s="98"/>
      <c r="AK115" s="98"/>
      <c r="AL115" s="98"/>
      <c r="AM115" s="4"/>
      <c r="AN115" s="4"/>
      <c r="AO115" s="4"/>
      <c r="AP115" s="98"/>
      <c r="AQ115" s="4"/>
      <c r="AR115" s="4"/>
      <c r="AS115" s="4"/>
      <c r="AT115" s="98"/>
      <c r="AU115" s="98"/>
      <c r="AV115" s="98"/>
      <c r="AW115" s="98"/>
      <c r="AX115" s="98"/>
      <c r="AY115" s="98"/>
      <c r="AZ115" s="98"/>
      <c r="BA115" s="98"/>
      <c r="BB115" s="98"/>
      <c r="BC115" s="98"/>
      <c r="BD115" s="98"/>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c r="CB115" s="98"/>
      <c r="CC115" s="98"/>
    </row>
    <row r="116" ht="15.75" customHeight="1">
      <c r="A116" s="98"/>
      <c r="B116" s="98"/>
      <c r="C116" s="98"/>
      <c r="D116" s="98"/>
      <c r="E116" s="98"/>
      <c r="F116" s="98"/>
      <c r="G116" s="98"/>
      <c r="H116" s="98"/>
      <c r="I116" s="99"/>
      <c r="J116" s="99"/>
      <c r="K116" s="99"/>
      <c r="L116" s="99"/>
      <c r="M116" s="99"/>
      <c r="N116" s="99"/>
      <c r="O116" s="99"/>
      <c r="P116" s="99"/>
      <c r="Q116" s="99"/>
      <c r="R116" s="99"/>
      <c r="S116" s="99"/>
      <c r="T116" s="99"/>
      <c r="U116" s="99"/>
      <c r="V116" s="99"/>
      <c r="W116" s="99"/>
      <c r="X116" s="99"/>
      <c r="Y116" s="98"/>
      <c r="Z116" s="98"/>
      <c r="AA116" s="98"/>
      <c r="AB116" s="98"/>
      <c r="AC116" s="98"/>
      <c r="AD116" s="98"/>
      <c r="AE116" s="98"/>
      <c r="AF116" s="98"/>
      <c r="AG116" s="98"/>
      <c r="AH116" s="98"/>
      <c r="AI116" s="98"/>
      <c r="AJ116" s="98"/>
      <c r="AK116" s="98"/>
      <c r="AL116" s="98"/>
      <c r="AM116" s="4"/>
      <c r="AN116" s="4"/>
      <c r="AO116" s="4"/>
      <c r="AP116" s="98"/>
      <c r="AQ116" s="4"/>
      <c r="AR116" s="4"/>
      <c r="AS116" s="4"/>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row>
    <row r="117" ht="15.75" customHeight="1">
      <c r="A117" s="98"/>
      <c r="B117" s="98"/>
      <c r="C117" s="98"/>
      <c r="D117" s="98"/>
      <c r="E117" s="98"/>
      <c r="F117" s="98"/>
      <c r="G117" s="98"/>
      <c r="H117" s="98"/>
      <c r="I117" s="99"/>
      <c r="J117" s="99"/>
      <c r="K117" s="99"/>
      <c r="L117" s="99"/>
      <c r="M117" s="99"/>
      <c r="N117" s="99"/>
      <c r="O117" s="99"/>
      <c r="P117" s="99"/>
      <c r="Q117" s="99"/>
      <c r="R117" s="99"/>
      <c r="S117" s="99"/>
      <c r="T117" s="99"/>
      <c r="U117" s="99"/>
      <c r="V117" s="99"/>
      <c r="W117" s="99"/>
      <c r="X117" s="99"/>
      <c r="Y117" s="98"/>
      <c r="Z117" s="98"/>
      <c r="AA117" s="98"/>
      <c r="AB117" s="98"/>
      <c r="AC117" s="98"/>
      <c r="AD117" s="98"/>
      <c r="AE117" s="98"/>
      <c r="AF117" s="98"/>
      <c r="AG117" s="98"/>
      <c r="AH117" s="98"/>
      <c r="AI117" s="98"/>
      <c r="AJ117" s="98"/>
      <c r="AK117" s="98"/>
      <c r="AL117" s="98"/>
      <c r="AM117" s="4"/>
      <c r="AN117" s="4"/>
      <c r="AO117" s="4"/>
      <c r="AP117" s="98"/>
      <c r="AQ117" s="4"/>
      <c r="AR117" s="4"/>
      <c r="AS117" s="4"/>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row>
    <row r="118" ht="15.75" customHeight="1">
      <c r="A118" s="98"/>
      <c r="B118" s="98"/>
      <c r="C118" s="98"/>
      <c r="D118" s="98"/>
      <c r="E118" s="98"/>
      <c r="F118" s="98"/>
      <c r="G118" s="98"/>
      <c r="H118" s="98"/>
      <c r="I118" s="99"/>
      <c r="J118" s="99"/>
      <c r="K118" s="99"/>
      <c r="L118" s="99"/>
      <c r="M118" s="99"/>
      <c r="N118" s="99"/>
      <c r="O118" s="99"/>
      <c r="P118" s="99"/>
      <c r="Q118" s="99"/>
      <c r="R118" s="99"/>
      <c r="S118" s="99"/>
      <c r="T118" s="99"/>
      <c r="U118" s="99"/>
      <c r="V118" s="99"/>
      <c r="W118" s="99"/>
      <c r="X118" s="99"/>
      <c r="Y118" s="98"/>
      <c r="Z118" s="98"/>
      <c r="AA118" s="98"/>
      <c r="AB118" s="98"/>
      <c r="AC118" s="98"/>
      <c r="AD118" s="98"/>
      <c r="AE118" s="98"/>
      <c r="AF118" s="98"/>
      <c r="AG118" s="98"/>
      <c r="AH118" s="98"/>
      <c r="AI118" s="98"/>
      <c r="AJ118" s="98"/>
      <c r="AK118" s="98"/>
      <c r="AL118" s="98"/>
      <c r="AM118" s="4"/>
      <c r="AN118" s="4"/>
      <c r="AO118" s="4"/>
      <c r="AP118" s="98"/>
      <c r="AQ118" s="4"/>
      <c r="AR118" s="4"/>
      <c r="AS118" s="4"/>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row>
    <row r="119" ht="15.75" customHeight="1">
      <c r="A119" s="98"/>
      <c r="B119" s="98"/>
      <c r="C119" s="98"/>
      <c r="D119" s="98"/>
      <c r="E119" s="98"/>
      <c r="F119" s="98"/>
      <c r="G119" s="98"/>
      <c r="H119" s="98"/>
      <c r="I119" s="99"/>
      <c r="J119" s="99"/>
      <c r="K119" s="99"/>
      <c r="L119" s="99"/>
      <c r="M119" s="99"/>
      <c r="N119" s="99"/>
      <c r="O119" s="99"/>
      <c r="P119" s="99"/>
      <c r="Q119" s="99"/>
      <c r="R119" s="99"/>
      <c r="S119" s="99"/>
      <c r="T119" s="99"/>
      <c r="U119" s="99"/>
      <c r="V119" s="99"/>
      <c r="W119" s="99"/>
      <c r="X119" s="99"/>
      <c r="Y119" s="98"/>
      <c r="Z119" s="98"/>
      <c r="AA119" s="98"/>
      <c r="AB119" s="98"/>
      <c r="AC119" s="98"/>
      <c r="AD119" s="98"/>
      <c r="AE119" s="98"/>
      <c r="AF119" s="98"/>
      <c r="AG119" s="98"/>
      <c r="AH119" s="98"/>
      <c r="AI119" s="98"/>
      <c r="AJ119" s="98"/>
      <c r="AK119" s="98"/>
      <c r="AL119" s="98"/>
      <c r="AM119" s="4"/>
      <c r="AN119" s="4"/>
      <c r="AO119" s="4"/>
      <c r="AP119" s="98"/>
      <c r="AQ119" s="4"/>
      <c r="AR119" s="4"/>
      <c r="AS119" s="4"/>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row>
    <row r="120" ht="15.75" customHeight="1">
      <c r="A120" s="98"/>
      <c r="B120" s="98"/>
      <c r="C120" s="98"/>
      <c r="D120" s="98"/>
      <c r="E120" s="98"/>
      <c r="F120" s="98"/>
      <c r="G120" s="98"/>
      <c r="H120" s="98"/>
      <c r="I120" s="99"/>
      <c r="J120" s="99"/>
      <c r="K120" s="99"/>
      <c r="L120" s="99"/>
      <c r="M120" s="99"/>
      <c r="N120" s="99"/>
      <c r="O120" s="99"/>
      <c r="P120" s="99"/>
      <c r="Q120" s="99"/>
      <c r="R120" s="99"/>
      <c r="S120" s="99"/>
      <c r="T120" s="99"/>
      <c r="U120" s="99"/>
      <c r="V120" s="99"/>
      <c r="W120" s="99"/>
      <c r="X120" s="99"/>
      <c r="Y120" s="98"/>
      <c r="Z120" s="98"/>
      <c r="AA120" s="98"/>
      <c r="AB120" s="98"/>
      <c r="AC120" s="98"/>
      <c r="AD120" s="98"/>
      <c r="AE120" s="98"/>
      <c r="AF120" s="98"/>
      <c r="AG120" s="98"/>
      <c r="AH120" s="98"/>
      <c r="AI120" s="98"/>
      <c r="AJ120" s="98"/>
      <c r="AK120" s="98"/>
      <c r="AL120" s="98"/>
      <c r="AM120" s="4"/>
      <c r="AN120" s="4"/>
      <c r="AO120" s="4"/>
      <c r="AP120" s="98"/>
      <c r="AQ120" s="4"/>
      <c r="AR120" s="4"/>
      <c r="AS120" s="4"/>
      <c r="AT120" s="98"/>
      <c r="AU120" s="98"/>
      <c r="AV120" s="98"/>
      <c r="AW120" s="98"/>
      <c r="AX120" s="98"/>
      <c r="AY120" s="98"/>
      <c r="AZ120" s="98"/>
      <c r="BA120" s="98"/>
      <c r="BB120" s="98"/>
      <c r="BC120" s="98"/>
      <c r="BD120" s="98"/>
      <c r="BE120" s="98"/>
      <c r="BF120" s="98"/>
      <c r="BG120" s="98"/>
      <c r="BH120" s="98"/>
      <c r="BI120" s="98"/>
      <c r="BJ120" s="98"/>
      <c r="BK120" s="98"/>
      <c r="BL120" s="98"/>
      <c r="BM120" s="98"/>
      <c r="BN120" s="98"/>
      <c r="BO120" s="98"/>
      <c r="BP120" s="98"/>
      <c r="BQ120" s="98"/>
      <c r="BR120" s="98"/>
      <c r="BS120" s="98"/>
      <c r="BT120" s="98"/>
      <c r="BU120" s="98"/>
      <c r="BV120" s="98"/>
      <c r="BW120" s="98"/>
      <c r="BX120" s="98"/>
      <c r="BY120" s="98"/>
      <c r="BZ120" s="98"/>
      <c r="CA120" s="98"/>
      <c r="CB120" s="98"/>
      <c r="CC120" s="98"/>
    </row>
    <row r="121" ht="15.75" customHeight="1">
      <c r="A121" s="98"/>
      <c r="B121" s="98"/>
      <c r="C121" s="98"/>
      <c r="D121" s="98"/>
      <c r="E121" s="98"/>
      <c r="F121" s="98"/>
      <c r="G121" s="98"/>
      <c r="H121" s="98"/>
      <c r="I121" s="99"/>
      <c r="J121" s="99"/>
      <c r="K121" s="99"/>
      <c r="L121" s="99"/>
      <c r="M121" s="99"/>
      <c r="N121" s="99"/>
      <c r="O121" s="99"/>
      <c r="P121" s="99"/>
      <c r="Q121" s="99"/>
      <c r="R121" s="99"/>
      <c r="S121" s="99"/>
      <c r="T121" s="99"/>
      <c r="U121" s="99"/>
      <c r="V121" s="99"/>
      <c r="W121" s="99"/>
      <c r="X121" s="99"/>
      <c r="Y121" s="98"/>
      <c r="Z121" s="98"/>
      <c r="AA121" s="98"/>
      <c r="AB121" s="98"/>
      <c r="AC121" s="98"/>
      <c r="AD121" s="98"/>
      <c r="AE121" s="98"/>
      <c r="AF121" s="98"/>
      <c r="AG121" s="98"/>
      <c r="AH121" s="98"/>
      <c r="AI121" s="98"/>
      <c r="AJ121" s="98"/>
      <c r="AK121" s="98"/>
      <c r="AL121" s="98"/>
      <c r="AM121" s="4"/>
      <c r="AN121" s="4"/>
      <c r="AO121" s="4"/>
      <c r="AP121" s="98"/>
      <c r="AQ121" s="4"/>
      <c r="AR121" s="4"/>
      <c r="AS121" s="4"/>
      <c r="AT121" s="98"/>
      <c r="AU121" s="98"/>
      <c r="AV121" s="98"/>
      <c r="AW121" s="98"/>
      <c r="AX121" s="98"/>
      <c r="AY121" s="98"/>
      <c r="AZ121" s="98"/>
      <c r="BA121" s="98"/>
      <c r="BB121" s="98"/>
      <c r="BC121" s="98"/>
      <c r="BD121" s="98"/>
      <c r="BE121" s="98"/>
      <c r="BF121" s="98"/>
      <c r="BG121" s="98"/>
      <c r="BH121" s="98"/>
      <c r="BI121" s="98"/>
      <c r="BJ121" s="98"/>
      <c r="BK121" s="98"/>
      <c r="BL121" s="98"/>
      <c r="BM121" s="98"/>
      <c r="BN121" s="98"/>
      <c r="BO121" s="98"/>
      <c r="BP121" s="98"/>
      <c r="BQ121" s="98"/>
      <c r="BR121" s="98"/>
      <c r="BS121" s="98"/>
      <c r="BT121" s="98"/>
      <c r="BU121" s="98"/>
      <c r="BV121" s="98"/>
      <c r="BW121" s="98"/>
      <c r="BX121" s="98"/>
      <c r="BY121" s="98"/>
      <c r="BZ121" s="98"/>
      <c r="CA121" s="98"/>
      <c r="CB121" s="98"/>
      <c r="CC121" s="98"/>
    </row>
    <row r="122" ht="15.75" customHeight="1">
      <c r="A122" s="98"/>
      <c r="B122" s="98"/>
      <c r="C122" s="98"/>
      <c r="D122" s="98"/>
      <c r="E122" s="98"/>
      <c r="F122" s="98"/>
      <c r="G122" s="98"/>
      <c r="H122" s="98"/>
      <c r="I122" s="99"/>
      <c r="J122" s="99"/>
      <c r="K122" s="99"/>
      <c r="L122" s="99"/>
      <c r="M122" s="99"/>
      <c r="N122" s="99"/>
      <c r="O122" s="99"/>
      <c r="P122" s="99"/>
      <c r="Q122" s="99"/>
      <c r="R122" s="99"/>
      <c r="S122" s="99"/>
      <c r="T122" s="99"/>
      <c r="U122" s="99"/>
      <c r="V122" s="99"/>
      <c r="W122" s="99"/>
      <c r="X122" s="99"/>
      <c r="Y122" s="98"/>
      <c r="Z122" s="98"/>
      <c r="AA122" s="98"/>
      <c r="AB122" s="98"/>
      <c r="AC122" s="98"/>
      <c r="AD122" s="98"/>
      <c r="AE122" s="98"/>
      <c r="AF122" s="98"/>
      <c r="AG122" s="98"/>
      <c r="AH122" s="98"/>
      <c r="AI122" s="98"/>
      <c r="AJ122" s="98"/>
      <c r="AK122" s="98"/>
      <c r="AL122" s="98"/>
      <c r="AM122" s="4"/>
      <c r="AN122" s="4"/>
      <c r="AO122" s="4"/>
      <c r="AP122" s="98"/>
      <c r="AQ122" s="4"/>
      <c r="AR122" s="4"/>
      <c r="AS122" s="4"/>
      <c r="AT122" s="98"/>
      <c r="AU122" s="98"/>
      <c r="AV122" s="98"/>
      <c r="AW122" s="98"/>
      <c r="AX122" s="98"/>
      <c r="AY122" s="98"/>
      <c r="AZ122" s="98"/>
      <c r="BA122" s="98"/>
      <c r="BB122" s="98"/>
      <c r="BC122" s="98"/>
      <c r="BD122" s="98"/>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c r="CB122" s="98"/>
      <c r="CC122" s="98"/>
    </row>
    <row r="123" ht="15.75" customHeight="1">
      <c r="A123" s="98"/>
      <c r="B123" s="98"/>
      <c r="C123" s="98"/>
      <c r="D123" s="98"/>
      <c r="E123" s="98"/>
      <c r="F123" s="98"/>
      <c r="G123" s="98"/>
      <c r="H123" s="98"/>
      <c r="I123" s="99"/>
      <c r="J123" s="99"/>
      <c r="K123" s="99"/>
      <c r="L123" s="99"/>
      <c r="M123" s="99"/>
      <c r="N123" s="99"/>
      <c r="O123" s="99"/>
      <c r="P123" s="99"/>
      <c r="Q123" s="99"/>
      <c r="R123" s="99"/>
      <c r="S123" s="99"/>
      <c r="T123" s="99"/>
      <c r="U123" s="99"/>
      <c r="V123" s="99"/>
      <c r="W123" s="99"/>
      <c r="X123" s="99"/>
      <c r="Y123" s="98"/>
      <c r="Z123" s="98"/>
      <c r="AA123" s="98"/>
      <c r="AB123" s="98"/>
      <c r="AC123" s="98"/>
      <c r="AD123" s="98"/>
      <c r="AE123" s="98"/>
      <c r="AF123" s="98"/>
      <c r="AG123" s="98"/>
      <c r="AH123" s="98"/>
      <c r="AI123" s="98"/>
      <c r="AJ123" s="98"/>
      <c r="AK123" s="98"/>
      <c r="AL123" s="98"/>
      <c r="AM123" s="4"/>
      <c r="AN123" s="4"/>
      <c r="AO123" s="4"/>
      <c r="AP123" s="98"/>
      <c r="AQ123" s="4"/>
      <c r="AR123" s="4"/>
      <c r="AS123" s="4"/>
      <c r="AT123" s="98"/>
      <c r="AU123" s="98"/>
      <c r="AV123" s="98"/>
      <c r="AW123" s="98"/>
      <c r="AX123" s="98"/>
      <c r="AY123" s="98"/>
      <c r="AZ123" s="98"/>
      <c r="BA123" s="98"/>
      <c r="BB123" s="98"/>
      <c r="BC123" s="98"/>
      <c r="BD123" s="98"/>
      <c r="BE123" s="98"/>
      <c r="BF123" s="98"/>
      <c r="BG123" s="98"/>
      <c r="BH123" s="98"/>
      <c r="BI123" s="98"/>
      <c r="BJ123" s="98"/>
      <c r="BK123" s="98"/>
      <c r="BL123" s="98"/>
      <c r="BM123" s="98"/>
      <c r="BN123" s="98"/>
      <c r="BO123" s="98"/>
      <c r="BP123" s="98"/>
      <c r="BQ123" s="98"/>
      <c r="BR123" s="98"/>
      <c r="BS123" s="98"/>
      <c r="BT123" s="98"/>
      <c r="BU123" s="98"/>
      <c r="BV123" s="98"/>
      <c r="BW123" s="98"/>
      <c r="BX123" s="98"/>
      <c r="BY123" s="98"/>
      <c r="BZ123" s="98"/>
      <c r="CA123" s="98"/>
      <c r="CB123" s="98"/>
      <c r="CC123" s="98"/>
    </row>
    <row r="124" ht="15.75" customHeight="1">
      <c r="A124" s="98"/>
      <c r="B124" s="98"/>
      <c r="C124" s="98"/>
      <c r="D124" s="98"/>
      <c r="E124" s="98"/>
      <c r="F124" s="98"/>
      <c r="G124" s="98"/>
      <c r="H124" s="98"/>
      <c r="I124" s="99"/>
      <c r="J124" s="99"/>
      <c r="K124" s="99"/>
      <c r="L124" s="99"/>
      <c r="M124" s="99"/>
      <c r="N124" s="99"/>
      <c r="O124" s="99"/>
      <c r="P124" s="99"/>
      <c r="Q124" s="99"/>
      <c r="R124" s="99"/>
      <c r="S124" s="99"/>
      <c r="T124" s="99"/>
      <c r="U124" s="99"/>
      <c r="V124" s="99"/>
      <c r="W124" s="99"/>
      <c r="X124" s="99"/>
      <c r="Y124" s="98"/>
      <c r="Z124" s="98"/>
      <c r="AA124" s="98"/>
      <c r="AB124" s="98"/>
      <c r="AC124" s="98"/>
      <c r="AD124" s="98"/>
      <c r="AE124" s="98"/>
      <c r="AF124" s="98"/>
      <c r="AG124" s="98"/>
      <c r="AH124" s="98"/>
      <c r="AI124" s="98"/>
      <c r="AJ124" s="98"/>
      <c r="AK124" s="98"/>
      <c r="AL124" s="98"/>
      <c r="AM124" s="4"/>
      <c r="AN124" s="4"/>
      <c r="AO124" s="4"/>
      <c r="AP124" s="98"/>
      <c r="AQ124" s="4"/>
      <c r="AR124" s="4"/>
      <c r="AS124" s="4"/>
      <c r="AT124" s="98"/>
      <c r="AU124" s="98"/>
      <c r="AV124" s="98"/>
      <c r="AW124" s="98"/>
      <c r="AX124" s="98"/>
      <c r="AY124" s="98"/>
      <c r="AZ124" s="98"/>
      <c r="BA124" s="98"/>
      <c r="BB124" s="98"/>
      <c r="BC124" s="98"/>
      <c r="BD124" s="98"/>
      <c r="BE124" s="98"/>
      <c r="BF124" s="98"/>
      <c r="BG124" s="98"/>
      <c r="BH124" s="98"/>
      <c r="BI124" s="98"/>
      <c r="BJ124" s="98"/>
      <c r="BK124" s="98"/>
      <c r="BL124" s="98"/>
      <c r="BM124" s="98"/>
      <c r="BN124" s="98"/>
      <c r="BO124" s="98"/>
      <c r="BP124" s="98"/>
      <c r="BQ124" s="98"/>
      <c r="BR124" s="98"/>
      <c r="BS124" s="98"/>
      <c r="BT124" s="98"/>
      <c r="BU124" s="98"/>
      <c r="BV124" s="98"/>
      <c r="BW124" s="98"/>
      <c r="BX124" s="98"/>
      <c r="BY124" s="98"/>
      <c r="BZ124" s="98"/>
      <c r="CA124" s="98"/>
      <c r="CB124" s="98"/>
      <c r="CC124" s="98"/>
    </row>
    <row r="125" ht="15.75" customHeight="1">
      <c r="A125" s="98"/>
      <c r="B125" s="98"/>
      <c r="C125" s="98"/>
      <c r="D125" s="98"/>
      <c r="E125" s="98"/>
      <c r="F125" s="98"/>
      <c r="G125" s="98"/>
      <c r="H125" s="98"/>
      <c r="I125" s="99"/>
      <c r="J125" s="99"/>
      <c r="K125" s="99"/>
      <c r="L125" s="99"/>
      <c r="M125" s="99"/>
      <c r="N125" s="99"/>
      <c r="O125" s="99"/>
      <c r="P125" s="99"/>
      <c r="Q125" s="99"/>
      <c r="R125" s="99"/>
      <c r="S125" s="99"/>
      <c r="T125" s="99"/>
      <c r="U125" s="99"/>
      <c r="V125" s="99"/>
      <c r="W125" s="99"/>
      <c r="X125" s="99"/>
      <c r="Y125" s="98"/>
      <c r="Z125" s="98"/>
      <c r="AA125" s="98"/>
      <c r="AB125" s="98"/>
      <c r="AC125" s="98"/>
      <c r="AD125" s="98"/>
      <c r="AE125" s="98"/>
      <c r="AF125" s="98"/>
      <c r="AG125" s="98"/>
      <c r="AH125" s="98"/>
      <c r="AI125" s="98"/>
      <c r="AJ125" s="98"/>
      <c r="AK125" s="98"/>
      <c r="AL125" s="98"/>
      <c r="AM125" s="4"/>
      <c r="AN125" s="4"/>
      <c r="AO125" s="4"/>
      <c r="AP125" s="98"/>
      <c r="AQ125" s="4"/>
      <c r="AR125" s="4"/>
      <c r="AS125" s="4"/>
      <c r="AT125" s="98"/>
      <c r="AU125" s="98"/>
      <c r="AV125" s="98"/>
      <c r="AW125" s="98"/>
      <c r="AX125" s="98"/>
      <c r="AY125" s="98"/>
      <c r="AZ125" s="98"/>
      <c r="BA125" s="98"/>
      <c r="BB125" s="98"/>
      <c r="BC125" s="98"/>
      <c r="BD125" s="98"/>
      <c r="BE125" s="98"/>
      <c r="BF125" s="98"/>
      <c r="BG125" s="98"/>
      <c r="BH125" s="98"/>
      <c r="BI125" s="98"/>
      <c r="BJ125" s="98"/>
      <c r="BK125" s="98"/>
      <c r="BL125" s="98"/>
      <c r="BM125" s="98"/>
      <c r="BN125" s="98"/>
      <c r="BO125" s="98"/>
      <c r="BP125" s="98"/>
      <c r="BQ125" s="98"/>
      <c r="BR125" s="98"/>
      <c r="BS125" s="98"/>
      <c r="BT125" s="98"/>
      <c r="BU125" s="98"/>
      <c r="BV125" s="98"/>
      <c r="BW125" s="98"/>
      <c r="BX125" s="98"/>
      <c r="BY125" s="98"/>
      <c r="BZ125" s="98"/>
      <c r="CA125" s="98"/>
      <c r="CB125" s="98"/>
      <c r="CC125" s="98"/>
    </row>
    <row r="126" ht="15.75" customHeight="1">
      <c r="A126" s="98"/>
      <c r="B126" s="98"/>
      <c r="C126" s="98"/>
      <c r="D126" s="98"/>
      <c r="E126" s="98"/>
      <c r="F126" s="98"/>
      <c r="G126" s="98"/>
      <c r="H126" s="98"/>
      <c r="I126" s="99"/>
      <c r="J126" s="99"/>
      <c r="K126" s="99"/>
      <c r="L126" s="99"/>
      <c r="M126" s="99"/>
      <c r="N126" s="99"/>
      <c r="O126" s="99"/>
      <c r="P126" s="99"/>
      <c r="Q126" s="99"/>
      <c r="R126" s="99"/>
      <c r="S126" s="99"/>
      <c r="T126" s="99"/>
      <c r="U126" s="99"/>
      <c r="V126" s="99"/>
      <c r="W126" s="99"/>
      <c r="X126" s="99"/>
      <c r="Y126" s="98"/>
      <c r="Z126" s="98"/>
      <c r="AA126" s="98"/>
      <c r="AB126" s="98"/>
      <c r="AC126" s="98"/>
      <c r="AD126" s="98"/>
      <c r="AE126" s="98"/>
      <c r="AF126" s="98"/>
      <c r="AG126" s="98"/>
      <c r="AH126" s="98"/>
      <c r="AI126" s="98"/>
      <c r="AJ126" s="98"/>
      <c r="AK126" s="98"/>
      <c r="AL126" s="98"/>
      <c r="AM126" s="4"/>
      <c r="AN126" s="4"/>
      <c r="AO126" s="4"/>
      <c r="AP126" s="98"/>
      <c r="AQ126" s="4"/>
      <c r="AR126" s="4"/>
      <c r="AS126" s="4"/>
      <c r="AT126" s="98"/>
      <c r="AU126" s="98"/>
      <c r="AV126" s="98"/>
      <c r="AW126" s="98"/>
      <c r="AX126" s="98"/>
      <c r="AY126" s="98"/>
      <c r="AZ126" s="98"/>
      <c r="BA126" s="98"/>
      <c r="BB126" s="98"/>
      <c r="BC126" s="98"/>
      <c r="BD126" s="98"/>
      <c r="BE126" s="98"/>
      <c r="BF126" s="98"/>
      <c r="BG126" s="98"/>
      <c r="BH126" s="98"/>
      <c r="BI126" s="98"/>
      <c r="BJ126" s="98"/>
      <c r="BK126" s="98"/>
      <c r="BL126" s="98"/>
      <c r="BM126" s="98"/>
      <c r="BN126" s="98"/>
      <c r="BO126" s="98"/>
      <c r="BP126" s="98"/>
      <c r="BQ126" s="98"/>
      <c r="BR126" s="98"/>
      <c r="BS126" s="98"/>
      <c r="BT126" s="98"/>
      <c r="BU126" s="98"/>
      <c r="BV126" s="98"/>
      <c r="BW126" s="98"/>
      <c r="BX126" s="98"/>
      <c r="BY126" s="98"/>
      <c r="BZ126" s="98"/>
      <c r="CA126" s="98"/>
      <c r="CB126" s="98"/>
      <c r="CC126" s="98"/>
    </row>
    <row r="127" ht="15.75" customHeight="1">
      <c r="A127" s="98"/>
      <c r="B127" s="98"/>
      <c r="C127" s="98"/>
      <c r="D127" s="98"/>
      <c r="E127" s="98"/>
      <c r="F127" s="98"/>
      <c r="G127" s="98"/>
      <c r="H127" s="98"/>
      <c r="I127" s="99"/>
      <c r="J127" s="99"/>
      <c r="K127" s="99"/>
      <c r="L127" s="99"/>
      <c r="M127" s="99"/>
      <c r="N127" s="99"/>
      <c r="O127" s="99"/>
      <c r="P127" s="99"/>
      <c r="Q127" s="99"/>
      <c r="R127" s="99"/>
      <c r="S127" s="99"/>
      <c r="T127" s="99"/>
      <c r="U127" s="99"/>
      <c r="V127" s="99"/>
      <c r="W127" s="99"/>
      <c r="X127" s="99"/>
      <c r="Y127" s="98"/>
      <c r="Z127" s="98"/>
      <c r="AA127" s="98"/>
      <c r="AB127" s="98"/>
      <c r="AC127" s="98"/>
      <c r="AD127" s="98"/>
      <c r="AE127" s="98"/>
      <c r="AF127" s="98"/>
      <c r="AG127" s="98"/>
      <c r="AH127" s="98"/>
      <c r="AI127" s="98"/>
      <c r="AJ127" s="98"/>
      <c r="AK127" s="98"/>
      <c r="AL127" s="98"/>
      <c r="AM127" s="4"/>
      <c r="AN127" s="4"/>
      <c r="AO127" s="4"/>
      <c r="AP127" s="98"/>
      <c r="AQ127" s="4"/>
      <c r="AR127" s="4"/>
      <c r="AS127" s="4"/>
      <c r="AT127" s="98"/>
      <c r="AU127" s="98"/>
      <c r="AV127" s="98"/>
      <c r="AW127" s="98"/>
      <c r="AX127" s="98"/>
      <c r="AY127" s="98"/>
      <c r="AZ127" s="98"/>
      <c r="BA127" s="98"/>
      <c r="BB127" s="98"/>
      <c r="BC127" s="98"/>
      <c r="BD127" s="98"/>
      <c r="BE127" s="98"/>
      <c r="BF127" s="98"/>
      <c r="BG127" s="98"/>
      <c r="BH127" s="98"/>
      <c r="BI127" s="98"/>
      <c r="BJ127" s="98"/>
      <c r="BK127" s="98"/>
      <c r="BL127" s="98"/>
      <c r="BM127" s="98"/>
      <c r="BN127" s="98"/>
      <c r="BO127" s="98"/>
      <c r="BP127" s="98"/>
      <c r="BQ127" s="98"/>
      <c r="BR127" s="98"/>
      <c r="BS127" s="98"/>
      <c r="BT127" s="98"/>
      <c r="BU127" s="98"/>
      <c r="BV127" s="98"/>
      <c r="BW127" s="98"/>
      <c r="BX127" s="98"/>
      <c r="BY127" s="98"/>
      <c r="BZ127" s="98"/>
      <c r="CA127" s="98"/>
      <c r="CB127" s="98"/>
      <c r="CC127" s="98"/>
    </row>
    <row r="128" ht="15.75" customHeight="1">
      <c r="A128" s="98"/>
      <c r="B128" s="98"/>
      <c r="C128" s="98"/>
      <c r="D128" s="98"/>
      <c r="E128" s="98"/>
      <c r="F128" s="98"/>
      <c r="G128" s="98"/>
      <c r="H128" s="98"/>
      <c r="I128" s="99"/>
      <c r="J128" s="99"/>
      <c r="K128" s="99"/>
      <c r="L128" s="99"/>
      <c r="M128" s="99"/>
      <c r="N128" s="99"/>
      <c r="O128" s="99"/>
      <c r="P128" s="99"/>
      <c r="Q128" s="99"/>
      <c r="R128" s="99"/>
      <c r="S128" s="99"/>
      <c r="T128" s="99"/>
      <c r="U128" s="99"/>
      <c r="V128" s="99"/>
      <c r="W128" s="99"/>
      <c r="X128" s="99"/>
      <c r="Y128" s="98"/>
      <c r="Z128" s="98"/>
      <c r="AA128" s="98"/>
      <c r="AB128" s="98"/>
      <c r="AC128" s="98"/>
      <c r="AD128" s="98"/>
      <c r="AE128" s="98"/>
      <c r="AF128" s="98"/>
      <c r="AG128" s="98"/>
      <c r="AH128" s="98"/>
      <c r="AI128" s="98"/>
      <c r="AJ128" s="98"/>
      <c r="AK128" s="98"/>
      <c r="AL128" s="98"/>
      <c r="AM128" s="4"/>
      <c r="AN128" s="4"/>
      <c r="AO128" s="4"/>
      <c r="AP128" s="98"/>
      <c r="AQ128" s="4"/>
      <c r="AR128" s="4"/>
      <c r="AS128" s="4"/>
      <c r="AT128" s="98"/>
      <c r="AU128" s="98"/>
      <c r="AV128" s="98"/>
      <c r="AW128" s="98"/>
      <c r="AX128" s="98"/>
      <c r="AY128" s="98"/>
      <c r="AZ128" s="98"/>
      <c r="BA128" s="98"/>
      <c r="BB128" s="98"/>
      <c r="BC128" s="98"/>
      <c r="BD128" s="98"/>
      <c r="BE128" s="98"/>
      <c r="BF128" s="98"/>
      <c r="BG128" s="98"/>
      <c r="BH128" s="98"/>
      <c r="BI128" s="98"/>
      <c r="BJ128" s="98"/>
      <c r="BK128" s="98"/>
      <c r="BL128" s="98"/>
      <c r="BM128" s="98"/>
      <c r="BN128" s="98"/>
      <c r="BO128" s="98"/>
      <c r="BP128" s="98"/>
      <c r="BQ128" s="98"/>
      <c r="BR128" s="98"/>
      <c r="BS128" s="98"/>
      <c r="BT128" s="98"/>
      <c r="BU128" s="98"/>
      <c r="BV128" s="98"/>
      <c r="BW128" s="98"/>
      <c r="BX128" s="98"/>
      <c r="BY128" s="98"/>
      <c r="BZ128" s="98"/>
      <c r="CA128" s="98"/>
      <c r="CB128" s="98"/>
      <c r="CC128" s="98"/>
    </row>
    <row r="129" ht="15.75" customHeight="1">
      <c r="A129" s="98"/>
      <c r="B129" s="98"/>
      <c r="C129" s="98"/>
      <c r="D129" s="98"/>
      <c r="E129" s="98"/>
      <c r="F129" s="98"/>
      <c r="G129" s="98"/>
      <c r="H129" s="98"/>
      <c r="I129" s="99"/>
      <c r="J129" s="99"/>
      <c r="K129" s="99"/>
      <c r="L129" s="99"/>
      <c r="M129" s="99"/>
      <c r="N129" s="99"/>
      <c r="O129" s="99"/>
      <c r="P129" s="99"/>
      <c r="Q129" s="99"/>
      <c r="R129" s="99"/>
      <c r="S129" s="99"/>
      <c r="T129" s="99"/>
      <c r="U129" s="99"/>
      <c r="V129" s="99"/>
      <c r="W129" s="99"/>
      <c r="X129" s="99"/>
      <c r="Y129" s="98"/>
      <c r="Z129" s="98"/>
      <c r="AA129" s="98"/>
      <c r="AB129" s="98"/>
      <c r="AC129" s="98"/>
      <c r="AD129" s="98"/>
      <c r="AE129" s="98"/>
      <c r="AF129" s="98"/>
      <c r="AG129" s="98"/>
      <c r="AH129" s="98"/>
      <c r="AI129" s="98"/>
      <c r="AJ129" s="98"/>
      <c r="AK129" s="98"/>
      <c r="AL129" s="98"/>
      <c r="AM129" s="4"/>
      <c r="AN129" s="4"/>
      <c r="AO129" s="4"/>
      <c r="AP129" s="98"/>
      <c r="AQ129" s="4"/>
      <c r="AR129" s="4"/>
      <c r="AS129" s="4"/>
      <c r="AT129" s="98"/>
      <c r="AU129" s="98"/>
      <c r="AV129" s="98"/>
      <c r="AW129" s="98"/>
      <c r="AX129" s="98"/>
      <c r="AY129" s="98"/>
      <c r="AZ129" s="98"/>
      <c r="BA129" s="98"/>
      <c r="BB129" s="98"/>
      <c r="BC129" s="98"/>
      <c r="BD129" s="98"/>
      <c r="BE129" s="98"/>
      <c r="BF129" s="98"/>
      <c r="BG129" s="98"/>
      <c r="BH129" s="98"/>
      <c r="BI129" s="98"/>
      <c r="BJ129" s="98"/>
      <c r="BK129" s="98"/>
      <c r="BL129" s="98"/>
      <c r="BM129" s="98"/>
      <c r="BN129" s="98"/>
      <c r="BO129" s="98"/>
      <c r="BP129" s="98"/>
      <c r="BQ129" s="98"/>
      <c r="BR129" s="98"/>
      <c r="BS129" s="98"/>
      <c r="BT129" s="98"/>
      <c r="BU129" s="98"/>
      <c r="BV129" s="98"/>
      <c r="BW129" s="98"/>
      <c r="BX129" s="98"/>
      <c r="BY129" s="98"/>
      <c r="BZ129" s="98"/>
      <c r="CA129" s="98"/>
      <c r="CB129" s="98"/>
      <c r="CC129" s="98"/>
    </row>
    <row r="130" ht="15.75" customHeight="1">
      <c r="A130" s="98"/>
      <c r="B130" s="98"/>
      <c r="C130" s="98"/>
      <c r="D130" s="98"/>
      <c r="E130" s="98"/>
      <c r="F130" s="98"/>
      <c r="G130" s="98"/>
      <c r="H130" s="98"/>
      <c r="I130" s="99"/>
      <c r="J130" s="99"/>
      <c r="K130" s="99"/>
      <c r="L130" s="99"/>
      <c r="M130" s="99"/>
      <c r="N130" s="99"/>
      <c r="O130" s="99"/>
      <c r="P130" s="99"/>
      <c r="Q130" s="99"/>
      <c r="R130" s="99"/>
      <c r="S130" s="99"/>
      <c r="T130" s="99"/>
      <c r="U130" s="99"/>
      <c r="V130" s="99"/>
      <c r="W130" s="99"/>
      <c r="X130" s="99"/>
      <c r="Y130" s="98"/>
      <c r="Z130" s="98"/>
      <c r="AA130" s="98"/>
      <c r="AB130" s="98"/>
      <c r="AC130" s="98"/>
      <c r="AD130" s="98"/>
      <c r="AE130" s="98"/>
      <c r="AF130" s="98"/>
      <c r="AG130" s="98"/>
      <c r="AH130" s="98"/>
      <c r="AI130" s="98"/>
      <c r="AJ130" s="98"/>
      <c r="AK130" s="98"/>
      <c r="AL130" s="98"/>
      <c r="AM130" s="4"/>
      <c r="AN130" s="4"/>
      <c r="AO130" s="4"/>
      <c r="AP130" s="98"/>
      <c r="AQ130" s="4"/>
      <c r="AR130" s="4"/>
      <c r="AS130" s="4"/>
      <c r="AT130" s="98"/>
      <c r="AU130" s="98"/>
      <c r="AV130" s="98"/>
      <c r="AW130" s="98"/>
      <c r="AX130" s="98"/>
      <c r="AY130" s="98"/>
      <c r="AZ130" s="98"/>
      <c r="BA130" s="98"/>
      <c r="BB130" s="98"/>
      <c r="BC130" s="98"/>
      <c r="BD130" s="98"/>
      <c r="BE130" s="98"/>
      <c r="BF130" s="98"/>
      <c r="BG130" s="98"/>
      <c r="BH130" s="98"/>
      <c r="BI130" s="98"/>
      <c r="BJ130" s="98"/>
      <c r="BK130" s="98"/>
      <c r="BL130" s="98"/>
      <c r="BM130" s="98"/>
      <c r="BN130" s="98"/>
      <c r="BO130" s="98"/>
      <c r="BP130" s="98"/>
      <c r="BQ130" s="98"/>
      <c r="BR130" s="98"/>
      <c r="BS130" s="98"/>
      <c r="BT130" s="98"/>
      <c r="BU130" s="98"/>
      <c r="BV130" s="98"/>
      <c r="BW130" s="98"/>
      <c r="BX130" s="98"/>
      <c r="BY130" s="98"/>
      <c r="BZ130" s="98"/>
      <c r="CA130" s="98"/>
      <c r="CB130" s="98"/>
      <c r="CC130" s="98"/>
    </row>
    <row r="131" ht="15.75" customHeight="1">
      <c r="A131" s="98"/>
      <c r="B131" s="98"/>
      <c r="C131" s="98"/>
      <c r="D131" s="98"/>
      <c r="E131" s="98"/>
      <c r="F131" s="98"/>
      <c r="G131" s="98"/>
      <c r="H131" s="98"/>
      <c r="I131" s="99"/>
      <c r="J131" s="99"/>
      <c r="K131" s="99"/>
      <c r="L131" s="99"/>
      <c r="M131" s="99"/>
      <c r="N131" s="99"/>
      <c r="O131" s="99"/>
      <c r="P131" s="99"/>
      <c r="Q131" s="99"/>
      <c r="R131" s="99"/>
      <c r="S131" s="99"/>
      <c r="T131" s="99"/>
      <c r="U131" s="99"/>
      <c r="V131" s="99"/>
      <c r="W131" s="99"/>
      <c r="X131" s="99"/>
      <c r="Y131" s="98"/>
      <c r="Z131" s="98"/>
      <c r="AA131" s="98"/>
      <c r="AB131" s="98"/>
      <c r="AC131" s="98"/>
      <c r="AD131" s="98"/>
      <c r="AE131" s="98"/>
      <c r="AF131" s="98"/>
      <c r="AG131" s="98"/>
      <c r="AH131" s="98"/>
      <c r="AI131" s="98"/>
      <c r="AJ131" s="98"/>
      <c r="AK131" s="98"/>
      <c r="AL131" s="98"/>
      <c r="AM131" s="4"/>
      <c r="AN131" s="4"/>
      <c r="AO131" s="4"/>
      <c r="AP131" s="98"/>
      <c r="AQ131" s="4"/>
      <c r="AR131" s="4"/>
      <c r="AS131" s="4"/>
      <c r="AT131" s="98"/>
      <c r="AU131" s="98"/>
      <c r="AV131" s="98"/>
      <c r="AW131" s="98"/>
      <c r="AX131" s="98"/>
      <c r="AY131" s="98"/>
      <c r="AZ131" s="98"/>
      <c r="BA131" s="98"/>
      <c r="BB131" s="98"/>
      <c r="BC131" s="98"/>
      <c r="BD131" s="98"/>
      <c r="BE131" s="98"/>
      <c r="BF131" s="98"/>
      <c r="BG131" s="98"/>
      <c r="BH131" s="98"/>
      <c r="BI131" s="98"/>
      <c r="BJ131" s="98"/>
      <c r="BK131" s="98"/>
      <c r="BL131" s="98"/>
      <c r="BM131" s="98"/>
      <c r="BN131" s="98"/>
      <c r="BO131" s="98"/>
      <c r="BP131" s="98"/>
      <c r="BQ131" s="98"/>
      <c r="BR131" s="98"/>
      <c r="BS131" s="98"/>
      <c r="BT131" s="98"/>
      <c r="BU131" s="98"/>
      <c r="BV131" s="98"/>
      <c r="BW131" s="98"/>
      <c r="BX131" s="98"/>
      <c r="BY131" s="98"/>
      <c r="BZ131" s="98"/>
      <c r="CA131" s="98"/>
      <c r="CB131" s="98"/>
      <c r="CC131" s="98"/>
    </row>
    <row r="132" ht="15.75" customHeight="1">
      <c r="A132" s="98"/>
      <c r="B132" s="98"/>
      <c r="C132" s="98"/>
      <c r="D132" s="98"/>
      <c r="E132" s="98"/>
      <c r="F132" s="98"/>
      <c r="G132" s="98"/>
      <c r="H132" s="98"/>
      <c r="I132" s="99"/>
      <c r="J132" s="99"/>
      <c r="K132" s="99"/>
      <c r="L132" s="99"/>
      <c r="M132" s="99"/>
      <c r="N132" s="99"/>
      <c r="O132" s="99"/>
      <c r="P132" s="99"/>
      <c r="Q132" s="99"/>
      <c r="R132" s="99"/>
      <c r="S132" s="99"/>
      <c r="T132" s="99"/>
      <c r="U132" s="99"/>
      <c r="V132" s="99"/>
      <c r="W132" s="99"/>
      <c r="X132" s="99"/>
      <c r="Y132" s="98"/>
      <c r="Z132" s="98"/>
      <c r="AA132" s="98"/>
      <c r="AB132" s="98"/>
      <c r="AC132" s="98"/>
      <c r="AD132" s="98"/>
      <c r="AE132" s="98"/>
      <c r="AF132" s="98"/>
      <c r="AG132" s="98"/>
      <c r="AH132" s="98"/>
      <c r="AI132" s="98"/>
      <c r="AJ132" s="98"/>
      <c r="AK132" s="98"/>
      <c r="AL132" s="98"/>
      <c r="AM132" s="4"/>
      <c r="AN132" s="4"/>
      <c r="AO132" s="4"/>
      <c r="AP132" s="98"/>
      <c r="AQ132" s="4"/>
      <c r="AR132" s="4"/>
      <c r="AS132" s="4"/>
      <c r="AT132" s="98"/>
      <c r="AU132" s="98"/>
      <c r="AV132" s="98"/>
      <c r="AW132" s="98"/>
      <c r="AX132" s="98"/>
      <c r="AY132" s="98"/>
      <c r="AZ132" s="98"/>
      <c r="BA132" s="98"/>
      <c r="BB132" s="98"/>
      <c r="BC132" s="98"/>
      <c r="BD132" s="98"/>
      <c r="BE132" s="98"/>
      <c r="BF132" s="98"/>
      <c r="BG132" s="98"/>
      <c r="BH132" s="98"/>
      <c r="BI132" s="98"/>
      <c r="BJ132" s="98"/>
      <c r="BK132" s="98"/>
      <c r="BL132" s="98"/>
      <c r="BM132" s="98"/>
      <c r="BN132" s="98"/>
      <c r="BO132" s="98"/>
      <c r="BP132" s="98"/>
      <c r="BQ132" s="98"/>
      <c r="BR132" s="98"/>
      <c r="BS132" s="98"/>
      <c r="BT132" s="98"/>
      <c r="BU132" s="98"/>
      <c r="BV132" s="98"/>
      <c r="BW132" s="98"/>
      <c r="BX132" s="98"/>
      <c r="BY132" s="98"/>
      <c r="BZ132" s="98"/>
      <c r="CA132" s="98"/>
      <c r="CB132" s="98"/>
      <c r="CC132" s="98"/>
    </row>
    <row r="133" ht="15.75" customHeight="1">
      <c r="A133" s="98"/>
      <c r="B133" s="98"/>
      <c r="C133" s="98"/>
      <c r="D133" s="98"/>
      <c r="E133" s="98"/>
      <c r="F133" s="98"/>
      <c r="G133" s="98"/>
      <c r="H133" s="98"/>
      <c r="I133" s="99"/>
      <c r="J133" s="99"/>
      <c r="K133" s="99"/>
      <c r="L133" s="99"/>
      <c r="M133" s="99"/>
      <c r="N133" s="99"/>
      <c r="O133" s="99"/>
      <c r="P133" s="99"/>
      <c r="Q133" s="99"/>
      <c r="R133" s="99"/>
      <c r="S133" s="99"/>
      <c r="T133" s="99"/>
      <c r="U133" s="99"/>
      <c r="V133" s="99"/>
      <c r="W133" s="99"/>
      <c r="X133" s="99"/>
      <c r="Y133" s="98"/>
      <c r="Z133" s="98"/>
      <c r="AA133" s="98"/>
      <c r="AB133" s="98"/>
      <c r="AC133" s="98"/>
      <c r="AD133" s="98"/>
      <c r="AE133" s="98"/>
      <c r="AF133" s="98"/>
      <c r="AG133" s="98"/>
      <c r="AH133" s="98"/>
      <c r="AI133" s="98"/>
      <c r="AJ133" s="98"/>
      <c r="AK133" s="98"/>
      <c r="AL133" s="98"/>
      <c r="AM133" s="4"/>
      <c r="AN133" s="4"/>
      <c r="AO133" s="4"/>
      <c r="AP133" s="98"/>
      <c r="AQ133" s="4"/>
      <c r="AR133" s="4"/>
      <c r="AS133" s="4"/>
      <c r="AT133" s="98"/>
      <c r="AU133" s="98"/>
      <c r="AV133" s="98"/>
      <c r="AW133" s="98"/>
      <c r="AX133" s="98"/>
      <c r="AY133" s="98"/>
      <c r="AZ133" s="98"/>
      <c r="BA133" s="98"/>
      <c r="BB133" s="98"/>
      <c r="BC133" s="98"/>
      <c r="BD133" s="98"/>
      <c r="BE133" s="98"/>
      <c r="BF133" s="98"/>
      <c r="BG133" s="98"/>
      <c r="BH133" s="98"/>
      <c r="BI133" s="98"/>
      <c r="BJ133" s="98"/>
      <c r="BK133" s="98"/>
      <c r="BL133" s="98"/>
      <c r="BM133" s="98"/>
      <c r="BN133" s="98"/>
      <c r="BO133" s="98"/>
      <c r="BP133" s="98"/>
      <c r="BQ133" s="98"/>
      <c r="BR133" s="98"/>
      <c r="BS133" s="98"/>
      <c r="BT133" s="98"/>
      <c r="BU133" s="98"/>
      <c r="BV133" s="98"/>
      <c r="BW133" s="98"/>
      <c r="BX133" s="98"/>
      <c r="BY133" s="98"/>
      <c r="BZ133" s="98"/>
      <c r="CA133" s="98"/>
      <c r="CB133" s="98"/>
      <c r="CC133" s="98"/>
    </row>
    <row r="134" ht="15.75" customHeight="1">
      <c r="A134" s="98"/>
      <c r="B134" s="98"/>
      <c r="C134" s="98"/>
      <c r="D134" s="98"/>
      <c r="E134" s="98"/>
      <c r="F134" s="98"/>
      <c r="G134" s="98"/>
      <c r="H134" s="98"/>
      <c r="I134" s="99"/>
      <c r="J134" s="99"/>
      <c r="K134" s="99"/>
      <c r="L134" s="99"/>
      <c r="M134" s="99"/>
      <c r="N134" s="99"/>
      <c r="O134" s="99"/>
      <c r="P134" s="99"/>
      <c r="Q134" s="99"/>
      <c r="R134" s="99"/>
      <c r="S134" s="99"/>
      <c r="T134" s="99"/>
      <c r="U134" s="99"/>
      <c r="V134" s="99"/>
      <c r="W134" s="99"/>
      <c r="X134" s="99"/>
      <c r="Y134" s="98"/>
      <c r="Z134" s="98"/>
      <c r="AA134" s="98"/>
      <c r="AB134" s="98"/>
      <c r="AC134" s="98"/>
      <c r="AD134" s="98"/>
      <c r="AE134" s="98"/>
      <c r="AF134" s="98"/>
      <c r="AG134" s="98"/>
      <c r="AH134" s="98"/>
      <c r="AI134" s="98"/>
      <c r="AJ134" s="98"/>
      <c r="AK134" s="98"/>
      <c r="AL134" s="98"/>
      <c r="AM134" s="4"/>
      <c r="AN134" s="4"/>
      <c r="AO134" s="4"/>
      <c r="AP134" s="98"/>
      <c r="AQ134" s="4"/>
      <c r="AR134" s="4"/>
      <c r="AS134" s="4"/>
      <c r="AT134" s="98"/>
      <c r="AU134" s="98"/>
      <c r="AV134" s="98"/>
      <c r="AW134" s="98"/>
      <c r="AX134" s="98"/>
      <c r="AY134" s="98"/>
      <c r="AZ134" s="98"/>
      <c r="BA134" s="98"/>
      <c r="BB134" s="98"/>
      <c r="BC134" s="98"/>
      <c r="BD134" s="98"/>
      <c r="BE134" s="98"/>
      <c r="BF134" s="98"/>
      <c r="BG134" s="98"/>
      <c r="BH134" s="98"/>
      <c r="BI134" s="98"/>
      <c r="BJ134" s="98"/>
      <c r="BK134" s="98"/>
      <c r="BL134" s="98"/>
      <c r="BM134" s="98"/>
      <c r="BN134" s="98"/>
      <c r="BO134" s="98"/>
      <c r="BP134" s="98"/>
      <c r="BQ134" s="98"/>
      <c r="BR134" s="98"/>
      <c r="BS134" s="98"/>
      <c r="BT134" s="98"/>
      <c r="BU134" s="98"/>
      <c r="BV134" s="98"/>
      <c r="BW134" s="98"/>
      <c r="BX134" s="98"/>
      <c r="BY134" s="98"/>
      <c r="BZ134" s="98"/>
      <c r="CA134" s="98"/>
      <c r="CB134" s="98"/>
      <c r="CC134" s="98"/>
    </row>
    <row r="135" ht="15.75" customHeight="1">
      <c r="A135" s="98"/>
      <c r="B135" s="98"/>
      <c r="C135" s="98"/>
      <c r="D135" s="98"/>
      <c r="E135" s="98"/>
      <c r="F135" s="98"/>
      <c r="G135" s="98"/>
      <c r="H135" s="98"/>
      <c r="I135" s="99"/>
      <c r="J135" s="99"/>
      <c r="K135" s="99"/>
      <c r="L135" s="99"/>
      <c r="M135" s="99"/>
      <c r="N135" s="99"/>
      <c r="O135" s="99"/>
      <c r="P135" s="99"/>
      <c r="Q135" s="99"/>
      <c r="R135" s="99"/>
      <c r="S135" s="99"/>
      <c r="T135" s="99"/>
      <c r="U135" s="99"/>
      <c r="V135" s="99"/>
      <c r="W135" s="99"/>
      <c r="X135" s="99"/>
      <c r="Y135" s="98"/>
      <c r="Z135" s="98"/>
      <c r="AA135" s="98"/>
      <c r="AB135" s="98"/>
      <c r="AC135" s="98"/>
      <c r="AD135" s="98"/>
      <c r="AE135" s="98"/>
      <c r="AF135" s="98"/>
      <c r="AG135" s="98"/>
      <c r="AH135" s="98"/>
      <c r="AI135" s="98"/>
      <c r="AJ135" s="98"/>
      <c r="AK135" s="98"/>
      <c r="AL135" s="98"/>
      <c r="AM135" s="4"/>
      <c r="AN135" s="4"/>
      <c r="AO135" s="4"/>
      <c r="AP135" s="98"/>
      <c r="AQ135" s="4"/>
      <c r="AR135" s="4"/>
      <c r="AS135" s="4"/>
      <c r="AT135" s="98"/>
      <c r="AU135" s="98"/>
      <c r="AV135" s="98"/>
      <c r="AW135" s="98"/>
      <c r="AX135" s="98"/>
      <c r="AY135" s="98"/>
      <c r="AZ135" s="98"/>
      <c r="BA135" s="98"/>
      <c r="BB135" s="98"/>
      <c r="BC135" s="98"/>
      <c r="BD135" s="98"/>
      <c r="BE135" s="98"/>
      <c r="BF135" s="98"/>
      <c r="BG135" s="98"/>
      <c r="BH135" s="98"/>
      <c r="BI135" s="98"/>
      <c r="BJ135" s="98"/>
      <c r="BK135" s="98"/>
      <c r="BL135" s="98"/>
      <c r="BM135" s="98"/>
      <c r="BN135" s="98"/>
      <c r="BO135" s="98"/>
      <c r="BP135" s="98"/>
      <c r="BQ135" s="98"/>
      <c r="BR135" s="98"/>
      <c r="BS135" s="98"/>
      <c r="BT135" s="98"/>
      <c r="BU135" s="98"/>
      <c r="BV135" s="98"/>
      <c r="BW135" s="98"/>
      <c r="BX135" s="98"/>
      <c r="BY135" s="98"/>
      <c r="BZ135" s="98"/>
      <c r="CA135" s="98"/>
      <c r="CB135" s="98"/>
      <c r="CC135" s="98"/>
    </row>
    <row r="136" ht="15.75" customHeight="1">
      <c r="A136" s="98"/>
      <c r="B136" s="98"/>
      <c r="C136" s="98"/>
      <c r="D136" s="98"/>
      <c r="E136" s="98"/>
      <c r="F136" s="98"/>
      <c r="G136" s="98"/>
      <c r="H136" s="98"/>
      <c r="I136" s="99"/>
      <c r="J136" s="99"/>
      <c r="K136" s="99"/>
      <c r="L136" s="99"/>
      <c r="M136" s="99"/>
      <c r="N136" s="99"/>
      <c r="O136" s="99"/>
      <c r="P136" s="99"/>
      <c r="Q136" s="99"/>
      <c r="R136" s="99"/>
      <c r="S136" s="99"/>
      <c r="T136" s="99"/>
      <c r="U136" s="99"/>
      <c r="V136" s="99"/>
      <c r="W136" s="99"/>
      <c r="X136" s="99"/>
      <c r="Y136" s="98"/>
      <c r="Z136" s="98"/>
      <c r="AA136" s="98"/>
      <c r="AB136" s="98"/>
      <c r="AC136" s="98"/>
      <c r="AD136" s="98"/>
      <c r="AE136" s="98"/>
      <c r="AF136" s="98"/>
      <c r="AG136" s="98"/>
      <c r="AH136" s="98"/>
      <c r="AI136" s="98"/>
      <c r="AJ136" s="98"/>
      <c r="AK136" s="98"/>
      <c r="AL136" s="98"/>
      <c r="AM136" s="4"/>
      <c r="AN136" s="4"/>
      <c r="AO136" s="4"/>
      <c r="AP136" s="98"/>
      <c r="AQ136" s="4"/>
      <c r="AR136" s="4"/>
      <c r="AS136" s="4"/>
      <c r="AT136" s="98"/>
      <c r="AU136" s="98"/>
      <c r="AV136" s="98"/>
      <c r="AW136" s="98"/>
      <c r="AX136" s="98"/>
      <c r="AY136" s="98"/>
      <c r="AZ136" s="98"/>
      <c r="BA136" s="98"/>
      <c r="BB136" s="98"/>
      <c r="BC136" s="98"/>
      <c r="BD136" s="98"/>
      <c r="BE136" s="98"/>
      <c r="BF136" s="98"/>
      <c r="BG136" s="98"/>
      <c r="BH136" s="98"/>
      <c r="BI136" s="98"/>
      <c r="BJ136" s="98"/>
      <c r="BK136" s="98"/>
      <c r="BL136" s="98"/>
      <c r="BM136" s="98"/>
      <c r="BN136" s="98"/>
      <c r="BO136" s="98"/>
      <c r="BP136" s="98"/>
      <c r="BQ136" s="98"/>
      <c r="BR136" s="98"/>
      <c r="BS136" s="98"/>
      <c r="BT136" s="98"/>
      <c r="BU136" s="98"/>
      <c r="BV136" s="98"/>
      <c r="BW136" s="98"/>
      <c r="BX136" s="98"/>
      <c r="BY136" s="98"/>
      <c r="BZ136" s="98"/>
      <c r="CA136" s="98"/>
      <c r="CB136" s="98"/>
      <c r="CC136" s="98"/>
    </row>
    <row r="137" ht="15.75" customHeight="1">
      <c r="A137" s="98"/>
      <c r="B137" s="98"/>
      <c r="C137" s="98"/>
      <c r="D137" s="98"/>
      <c r="E137" s="98"/>
      <c r="F137" s="98"/>
      <c r="G137" s="98"/>
      <c r="H137" s="98"/>
      <c r="I137" s="99"/>
      <c r="J137" s="99"/>
      <c r="K137" s="99"/>
      <c r="L137" s="99"/>
      <c r="M137" s="99"/>
      <c r="N137" s="99"/>
      <c r="O137" s="99"/>
      <c r="P137" s="99"/>
      <c r="Q137" s="99"/>
      <c r="R137" s="99"/>
      <c r="S137" s="99"/>
      <c r="T137" s="99"/>
      <c r="U137" s="99"/>
      <c r="V137" s="99"/>
      <c r="W137" s="99"/>
      <c r="X137" s="99"/>
      <c r="Y137" s="98"/>
      <c r="Z137" s="98"/>
      <c r="AA137" s="98"/>
      <c r="AB137" s="98"/>
      <c r="AC137" s="98"/>
      <c r="AD137" s="98"/>
      <c r="AE137" s="98"/>
      <c r="AF137" s="98"/>
      <c r="AG137" s="98"/>
      <c r="AH137" s="98"/>
      <c r="AI137" s="98"/>
      <c r="AJ137" s="98"/>
      <c r="AK137" s="98"/>
      <c r="AL137" s="98"/>
      <c r="AM137" s="4"/>
      <c r="AN137" s="4"/>
      <c r="AO137" s="4"/>
      <c r="AP137" s="98"/>
      <c r="AQ137" s="4"/>
      <c r="AR137" s="4"/>
      <c r="AS137" s="4"/>
      <c r="AT137" s="98"/>
      <c r="AU137" s="98"/>
      <c r="AV137" s="98"/>
      <c r="AW137" s="98"/>
      <c r="AX137" s="98"/>
      <c r="AY137" s="98"/>
      <c r="AZ137" s="98"/>
      <c r="BA137" s="98"/>
      <c r="BB137" s="98"/>
      <c r="BC137" s="98"/>
      <c r="BD137" s="98"/>
      <c r="BE137" s="98"/>
      <c r="BF137" s="98"/>
      <c r="BG137" s="98"/>
      <c r="BH137" s="98"/>
      <c r="BI137" s="98"/>
      <c r="BJ137" s="98"/>
      <c r="BK137" s="98"/>
      <c r="BL137" s="98"/>
      <c r="BM137" s="98"/>
      <c r="BN137" s="98"/>
      <c r="BO137" s="98"/>
      <c r="BP137" s="98"/>
      <c r="BQ137" s="98"/>
      <c r="BR137" s="98"/>
      <c r="BS137" s="98"/>
      <c r="BT137" s="98"/>
      <c r="BU137" s="98"/>
      <c r="BV137" s="98"/>
      <c r="BW137" s="98"/>
      <c r="BX137" s="98"/>
      <c r="BY137" s="98"/>
      <c r="BZ137" s="98"/>
      <c r="CA137" s="98"/>
      <c r="CB137" s="98"/>
      <c r="CC137" s="98"/>
    </row>
    <row r="138" ht="15.75" customHeight="1">
      <c r="A138" s="98"/>
      <c r="B138" s="98"/>
      <c r="C138" s="98"/>
      <c r="D138" s="98"/>
      <c r="E138" s="98"/>
      <c r="F138" s="98"/>
      <c r="G138" s="98"/>
      <c r="H138" s="98"/>
      <c r="I138" s="99"/>
      <c r="J138" s="99"/>
      <c r="K138" s="99"/>
      <c r="L138" s="99"/>
      <c r="M138" s="99"/>
      <c r="N138" s="99"/>
      <c r="O138" s="99"/>
      <c r="P138" s="99"/>
      <c r="Q138" s="99"/>
      <c r="R138" s="99"/>
      <c r="S138" s="99"/>
      <c r="T138" s="99"/>
      <c r="U138" s="99"/>
      <c r="V138" s="99"/>
      <c r="W138" s="99"/>
      <c r="X138" s="99"/>
      <c r="Y138" s="98"/>
      <c r="Z138" s="98"/>
      <c r="AA138" s="98"/>
      <c r="AB138" s="98"/>
      <c r="AC138" s="98"/>
      <c r="AD138" s="98"/>
      <c r="AE138" s="98"/>
      <c r="AF138" s="98"/>
      <c r="AG138" s="98"/>
      <c r="AH138" s="98"/>
      <c r="AI138" s="98"/>
      <c r="AJ138" s="98"/>
      <c r="AK138" s="98"/>
      <c r="AL138" s="98"/>
      <c r="AM138" s="4"/>
      <c r="AN138" s="4"/>
      <c r="AO138" s="4"/>
      <c r="AP138" s="98"/>
      <c r="AQ138" s="4"/>
      <c r="AR138" s="4"/>
      <c r="AS138" s="4"/>
      <c r="AT138" s="98"/>
      <c r="AU138" s="98"/>
      <c r="AV138" s="98"/>
      <c r="AW138" s="98"/>
      <c r="AX138" s="98"/>
      <c r="AY138" s="98"/>
      <c r="AZ138" s="98"/>
      <c r="BA138" s="98"/>
      <c r="BB138" s="98"/>
      <c r="BC138" s="98"/>
      <c r="BD138" s="98"/>
      <c r="BE138" s="98"/>
      <c r="BF138" s="98"/>
      <c r="BG138" s="98"/>
      <c r="BH138" s="98"/>
      <c r="BI138" s="98"/>
      <c r="BJ138" s="98"/>
      <c r="BK138" s="98"/>
      <c r="BL138" s="98"/>
      <c r="BM138" s="98"/>
      <c r="BN138" s="98"/>
      <c r="BO138" s="98"/>
      <c r="BP138" s="98"/>
      <c r="BQ138" s="98"/>
      <c r="BR138" s="98"/>
      <c r="BS138" s="98"/>
      <c r="BT138" s="98"/>
      <c r="BU138" s="98"/>
      <c r="BV138" s="98"/>
      <c r="BW138" s="98"/>
      <c r="BX138" s="98"/>
      <c r="BY138" s="98"/>
      <c r="BZ138" s="98"/>
      <c r="CA138" s="98"/>
      <c r="CB138" s="98"/>
      <c r="CC138" s="98"/>
    </row>
    <row r="139" ht="15.75" customHeight="1">
      <c r="A139" s="98"/>
      <c r="B139" s="98"/>
      <c r="C139" s="98"/>
      <c r="D139" s="98"/>
      <c r="E139" s="98"/>
      <c r="F139" s="98"/>
      <c r="G139" s="98"/>
      <c r="H139" s="98"/>
      <c r="I139" s="99"/>
      <c r="J139" s="99"/>
      <c r="K139" s="99"/>
      <c r="L139" s="99"/>
      <c r="M139" s="99"/>
      <c r="N139" s="99"/>
      <c r="O139" s="99"/>
      <c r="P139" s="99"/>
      <c r="Q139" s="99"/>
      <c r="R139" s="99"/>
      <c r="S139" s="99"/>
      <c r="T139" s="99"/>
      <c r="U139" s="99"/>
      <c r="V139" s="99"/>
      <c r="W139" s="99"/>
      <c r="X139" s="99"/>
      <c r="Y139" s="98"/>
      <c r="Z139" s="98"/>
      <c r="AA139" s="98"/>
      <c r="AB139" s="98"/>
      <c r="AC139" s="98"/>
      <c r="AD139" s="98"/>
      <c r="AE139" s="98"/>
      <c r="AF139" s="98"/>
      <c r="AG139" s="98"/>
      <c r="AH139" s="98"/>
      <c r="AI139" s="98"/>
      <c r="AJ139" s="98"/>
      <c r="AK139" s="98"/>
      <c r="AL139" s="98"/>
      <c r="AM139" s="4"/>
      <c r="AN139" s="4"/>
      <c r="AO139" s="4"/>
      <c r="AP139" s="98"/>
      <c r="AQ139" s="4"/>
      <c r="AR139" s="4"/>
      <c r="AS139" s="4"/>
      <c r="AT139" s="98"/>
      <c r="AU139" s="98"/>
      <c r="AV139" s="98"/>
      <c r="AW139" s="98"/>
      <c r="AX139" s="98"/>
      <c r="AY139" s="98"/>
      <c r="AZ139" s="98"/>
      <c r="BA139" s="98"/>
      <c r="BB139" s="98"/>
      <c r="BC139" s="98"/>
      <c r="BD139" s="98"/>
      <c r="BE139" s="98"/>
      <c r="BF139" s="98"/>
      <c r="BG139" s="98"/>
      <c r="BH139" s="98"/>
      <c r="BI139" s="98"/>
      <c r="BJ139" s="98"/>
      <c r="BK139" s="98"/>
      <c r="BL139" s="98"/>
      <c r="BM139" s="98"/>
      <c r="BN139" s="98"/>
      <c r="BO139" s="98"/>
      <c r="BP139" s="98"/>
      <c r="BQ139" s="98"/>
      <c r="BR139" s="98"/>
      <c r="BS139" s="98"/>
      <c r="BT139" s="98"/>
      <c r="BU139" s="98"/>
      <c r="BV139" s="98"/>
      <c r="BW139" s="98"/>
      <c r="BX139" s="98"/>
      <c r="BY139" s="98"/>
      <c r="BZ139" s="98"/>
      <c r="CA139" s="98"/>
      <c r="CB139" s="98"/>
      <c r="CC139" s="98"/>
    </row>
    <row r="140" ht="15.75" customHeight="1">
      <c r="A140" s="98"/>
      <c r="B140" s="98"/>
      <c r="C140" s="98"/>
      <c r="D140" s="98"/>
      <c r="E140" s="98"/>
      <c r="F140" s="98"/>
      <c r="G140" s="98"/>
      <c r="H140" s="98"/>
      <c r="I140" s="99"/>
      <c r="J140" s="99"/>
      <c r="K140" s="99"/>
      <c r="L140" s="99"/>
      <c r="M140" s="99"/>
      <c r="N140" s="99"/>
      <c r="O140" s="99"/>
      <c r="P140" s="99"/>
      <c r="Q140" s="99"/>
      <c r="R140" s="99"/>
      <c r="S140" s="99"/>
      <c r="T140" s="99"/>
      <c r="U140" s="99"/>
      <c r="V140" s="99"/>
      <c r="W140" s="99"/>
      <c r="X140" s="99"/>
      <c r="Y140" s="98"/>
      <c r="Z140" s="98"/>
      <c r="AA140" s="98"/>
      <c r="AB140" s="98"/>
      <c r="AC140" s="98"/>
      <c r="AD140" s="98"/>
      <c r="AE140" s="98"/>
      <c r="AF140" s="98"/>
      <c r="AG140" s="98"/>
      <c r="AH140" s="98"/>
      <c r="AI140" s="98"/>
      <c r="AJ140" s="98"/>
      <c r="AK140" s="98"/>
      <c r="AL140" s="98"/>
      <c r="AM140" s="4"/>
      <c r="AN140" s="4"/>
      <c r="AO140" s="4"/>
      <c r="AP140" s="98"/>
      <c r="AQ140" s="4"/>
      <c r="AR140" s="4"/>
      <c r="AS140" s="4"/>
      <c r="AT140" s="98"/>
      <c r="AU140" s="98"/>
      <c r="AV140" s="98"/>
      <c r="AW140" s="98"/>
      <c r="AX140" s="98"/>
      <c r="AY140" s="98"/>
      <c r="AZ140" s="98"/>
      <c r="BA140" s="98"/>
      <c r="BB140" s="98"/>
      <c r="BC140" s="98"/>
      <c r="BD140" s="98"/>
      <c r="BE140" s="98"/>
      <c r="BF140" s="98"/>
      <c r="BG140" s="98"/>
      <c r="BH140" s="98"/>
      <c r="BI140" s="98"/>
      <c r="BJ140" s="98"/>
      <c r="BK140" s="98"/>
      <c r="BL140" s="98"/>
      <c r="BM140" s="98"/>
      <c r="BN140" s="98"/>
      <c r="BO140" s="98"/>
      <c r="BP140" s="98"/>
      <c r="BQ140" s="98"/>
      <c r="BR140" s="98"/>
      <c r="BS140" s="98"/>
      <c r="BT140" s="98"/>
      <c r="BU140" s="98"/>
      <c r="BV140" s="98"/>
      <c r="BW140" s="98"/>
      <c r="BX140" s="98"/>
      <c r="BY140" s="98"/>
      <c r="BZ140" s="98"/>
      <c r="CA140" s="98"/>
      <c r="CB140" s="98"/>
      <c r="CC140" s="98"/>
    </row>
    <row r="141" ht="15.75" customHeight="1">
      <c r="A141" s="98"/>
      <c r="B141" s="98"/>
      <c r="C141" s="98"/>
      <c r="D141" s="98"/>
      <c r="E141" s="98"/>
      <c r="F141" s="98"/>
      <c r="G141" s="98"/>
      <c r="H141" s="98"/>
      <c r="I141" s="99"/>
      <c r="J141" s="99"/>
      <c r="K141" s="99"/>
      <c r="L141" s="99"/>
      <c r="M141" s="99"/>
      <c r="N141" s="99"/>
      <c r="O141" s="99"/>
      <c r="P141" s="99"/>
      <c r="Q141" s="99"/>
      <c r="R141" s="99"/>
      <c r="S141" s="99"/>
      <c r="T141" s="99"/>
      <c r="U141" s="99"/>
      <c r="V141" s="99"/>
      <c r="W141" s="99"/>
      <c r="X141" s="99"/>
      <c r="Y141" s="98"/>
      <c r="Z141" s="98"/>
      <c r="AA141" s="98"/>
      <c r="AB141" s="98"/>
      <c r="AC141" s="98"/>
      <c r="AD141" s="98"/>
      <c r="AE141" s="98"/>
      <c r="AF141" s="98"/>
      <c r="AG141" s="98"/>
      <c r="AH141" s="98"/>
      <c r="AI141" s="98"/>
      <c r="AJ141" s="98"/>
      <c r="AK141" s="98"/>
      <c r="AL141" s="98"/>
      <c r="AM141" s="4"/>
      <c r="AN141" s="4"/>
      <c r="AO141" s="4"/>
      <c r="AP141" s="98"/>
      <c r="AQ141" s="4"/>
      <c r="AR141" s="4"/>
      <c r="AS141" s="4"/>
      <c r="AT141" s="98"/>
      <c r="AU141" s="98"/>
      <c r="AV141" s="98"/>
      <c r="AW141" s="98"/>
      <c r="AX141" s="98"/>
      <c r="AY141" s="98"/>
      <c r="AZ141" s="98"/>
      <c r="BA141" s="98"/>
      <c r="BB141" s="98"/>
      <c r="BC141" s="98"/>
      <c r="BD141" s="98"/>
      <c r="BE141" s="98"/>
      <c r="BF141" s="98"/>
      <c r="BG141" s="98"/>
      <c r="BH141" s="98"/>
      <c r="BI141" s="98"/>
      <c r="BJ141" s="98"/>
      <c r="BK141" s="98"/>
      <c r="BL141" s="98"/>
      <c r="BM141" s="98"/>
      <c r="BN141" s="98"/>
      <c r="BO141" s="98"/>
      <c r="BP141" s="98"/>
      <c r="BQ141" s="98"/>
      <c r="BR141" s="98"/>
      <c r="BS141" s="98"/>
      <c r="BT141" s="98"/>
      <c r="BU141" s="98"/>
      <c r="BV141" s="98"/>
      <c r="BW141" s="98"/>
      <c r="BX141" s="98"/>
      <c r="BY141" s="98"/>
      <c r="BZ141" s="98"/>
      <c r="CA141" s="98"/>
      <c r="CB141" s="98"/>
      <c r="CC141" s="98"/>
    </row>
    <row r="142" ht="15.75" customHeight="1">
      <c r="A142" s="98"/>
      <c r="B142" s="98"/>
      <c r="C142" s="98"/>
      <c r="D142" s="98"/>
      <c r="E142" s="98"/>
      <c r="F142" s="98"/>
      <c r="G142" s="98"/>
      <c r="H142" s="98"/>
      <c r="I142" s="99"/>
      <c r="J142" s="99"/>
      <c r="K142" s="99"/>
      <c r="L142" s="99"/>
      <c r="M142" s="99"/>
      <c r="N142" s="99"/>
      <c r="O142" s="99"/>
      <c r="P142" s="99"/>
      <c r="Q142" s="99"/>
      <c r="R142" s="99"/>
      <c r="S142" s="99"/>
      <c r="T142" s="99"/>
      <c r="U142" s="99"/>
      <c r="V142" s="99"/>
      <c r="W142" s="99"/>
      <c r="X142" s="99"/>
      <c r="Y142" s="98"/>
      <c r="Z142" s="98"/>
      <c r="AA142" s="98"/>
      <c r="AB142" s="98"/>
      <c r="AC142" s="98"/>
      <c r="AD142" s="98"/>
      <c r="AE142" s="98"/>
      <c r="AF142" s="98"/>
      <c r="AG142" s="98"/>
      <c r="AH142" s="98"/>
      <c r="AI142" s="98"/>
      <c r="AJ142" s="98"/>
      <c r="AK142" s="98"/>
      <c r="AL142" s="98"/>
      <c r="AM142" s="4"/>
      <c r="AN142" s="4"/>
      <c r="AO142" s="4"/>
      <c r="AP142" s="98"/>
      <c r="AQ142" s="4"/>
      <c r="AR142" s="4"/>
      <c r="AS142" s="4"/>
      <c r="AT142" s="98"/>
      <c r="AU142" s="98"/>
      <c r="AV142" s="98"/>
      <c r="AW142" s="98"/>
      <c r="AX142" s="98"/>
      <c r="AY142" s="98"/>
      <c r="AZ142" s="98"/>
      <c r="BA142" s="98"/>
      <c r="BB142" s="98"/>
      <c r="BC142" s="98"/>
      <c r="BD142" s="98"/>
      <c r="BE142" s="98"/>
      <c r="BF142" s="98"/>
      <c r="BG142" s="98"/>
      <c r="BH142" s="98"/>
      <c r="BI142" s="98"/>
      <c r="BJ142" s="98"/>
      <c r="BK142" s="98"/>
      <c r="BL142" s="98"/>
      <c r="BM142" s="98"/>
      <c r="BN142" s="98"/>
      <c r="BO142" s="98"/>
      <c r="BP142" s="98"/>
      <c r="BQ142" s="98"/>
      <c r="BR142" s="98"/>
      <c r="BS142" s="98"/>
      <c r="BT142" s="98"/>
      <c r="BU142" s="98"/>
      <c r="BV142" s="98"/>
      <c r="BW142" s="98"/>
      <c r="BX142" s="98"/>
      <c r="BY142" s="98"/>
      <c r="BZ142" s="98"/>
      <c r="CA142" s="98"/>
      <c r="CB142" s="98"/>
      <c r="CC142" s="98"/>
    </row>
    <row r="143" ht="15.75" customHeight="1">
      <c r="A143" s="98"/>
      <c r="B143" s="98"/>
      <c r="C143" s="98"/>
      <c r="D143" s="98"/>
      <c r="E143" s="98"/>
      <c r="F143" s="98"/>
      <c r="G143" s="98"/>
      <c r="H143" s="98"/>
      <c r="I143" s="99"/>
      <c r="J143" s="99"/>
      <c r="K143" s="99"/>
      <c r="L143" s="99"/>
      <c r="M143" s="99"/>
      <c r="N143" s="99"/>
      <c r="O143" s="99"/>
      <c r="P143" s="99"/>
      <c r="Q143" s="99"/>
      <c r="R143" s="99"/>
      <c r="S143" s="99"/>
      <c r="T143" s="99"/>
      <c r="U143" s="99"/>
      <c r="V143" s="99"/>
      <c r="W143" s="99"/>
      <c r="X143" s="99"/>
      <c r="Y143" s="98"/>
      <c r="Z143" s="98"/>
      <c r="AA143" s="98"/>
      <c r="AB143" s="98"/>
      <c r="AC143" s="98"/>
      <c r="AD143" s="98"/>
      <c r="AE143" s="98"/>
      <c r="AF143" s="98"/>
      <c r="AG143" s="98"/>
      <c r="AH143" s="98"/>
      <c r="AI143" s="98"/>
      <c r="AJ143" s="98"/>
      <c r="AK143" s="98"/>
      <c r="AL143" s="98"/>
      <c r="AM143" s="4"/>
      <c r="AN143" s="4"/>
      <c r="AO143" s="4"/>
      <c r="AP143" s="98"/>
      <c r="AQ143" s="4"/>
      <c r="AR143" s="4"/>
      <c r="AS143" s="4"/>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c r="CB143" s="98"/>
      <c r="CC143" s="98"/>
    </row>
    <row r="144" ht="15.75" customHeight="1">
      <c r="A144" s="98"/>
      <c r="B144" s="98"/>
      <c r="C144" s="98"/>
      <c r="D144" s="98"/>
      <c r="E144" s="98"/>
      <c r="F144" s="98"/>
      <c r="G144" s="98"/>
      <c r="H144" s="98"/>
      <c r="I144" s="99"/>
      <c r="J144" s="99"/>
      <c r="K144" s="99"/>
      <c r="L144" s="99"/>
      <c r="M144" s="99"/>
      <c r="N144" s="99"/>
      <c r="O144" s="99"/>
      <c r="P144" s="99"/>
      <c r="Q144" s="99"/>
      <c r="R144" s="99"/>
      <c r="S144" s="99"/>
      <c r="T144" s="99"/>
      <c r="U144" s="99"/>
      <c r="V144" s="99"/>
      <c r="W144" s="99"/>
      <c r="X144" s="99"/>
      <c r="Y144" s="98"/>
      <c r="Z144" s="98"/>
      <c r="AA144" s="98"/>
      <c r="AB144" s="98"/>
      <c r="AC144" s="98"/>
      <c r="AD144" s="98"/>
      <c r="AE144" s="98"/>
      <c r="AF144" s="98"/>
      <c r="AG144" s="98"/>
      <c r="AH144" s="98"/>
      <c r="AI144" s="98"/>
      <c r="AJ144" s="98"/>
      <c r="AK144" s="98"/>
      <c r="AL144" s="98"/>
      <c r="AM144" s="4"/>
      <c r="AN144" s="4"/>
      <c r="AO144" s="4"/>
      <c r="AP144" s="98"/>
      <c r="AQ144" s="4"/>
      <c r="AR144" s="4"/>
      <c r="AS144" s="4"/>
      <c r="AT144" s="98"/>
      <c r="AU144" s="98"/>
      <c r="AV144" s="98"/>
      <c r="AW144" s="98"/>
      <c r="AX144" s="98"/>
      <c r="AY144" s="98"/>
      <c r="AZ144" s="98"/>
      <c r="BA144" s="98"/>
      <c r="BB144" s="98"/>
      <c r="BC144" s="98"/>
      <c r="BD144" s="98"/>
      <c r="BE144" s="98"/>
      <c r="BF144" s="98"/>
      <c r="BG144" s="98"/>
      <c r="BH144" s="98"/>
      <c r="BI144" s="98"/>
      <c r="BJ144" s="98"/>
      <c r="BK144" s="98"/>
      <c r="BL144" s="98"/>
      <c r="BM144" s="98"/>
      <c r="BN144" s="98"/>
      <c r="BO144" s="98"/>
      <c r="BP144" s="98"/>
      <c r="BQ144" s="98"/>
      <c r="BR144" s="98"/>
      <c r="BS144" s="98"/>
      <c r="BT144" s="98"/>
      <c r="BU144" s="98"/>
      <c r="BV144" s="98"/>
      <c r="BW144" s="98"/>
      <c r="BX144" s="98"/>
      <c r="BY144" s="98"/>
      <c r="BZ144" s="98"/>
      <c r="CA144" s="98"/>
      <c r="CB144" s="98"/>
      <c r="CC144" s="98"/>
    </row>
    <row r="145" ht="15.75" customHeight="1">
      <c r="A145" s="98"/>
      <c r="B145" s="98"/>
      <c r="C145" s="98"/>
      <c r="D145" s="98"/>
      <c r="E145" s="98"/>
      <c r="F145" s="98"/>
      <c r="G145" s="98"/>
      <c r="H145" s="98"/>
      <c r="I145" s="99"/>
      <c r="J145" s="99"/>
      <c r="K145" s="99"/>
      <c r="L145" s="99"/>
      <c r="M145" s="99"/>
      <c r="N145" s="99"/>
      <c r="O145" s="99"/>
      <c r="P145" s="99"/>
      <c r="Q145" s="99"/>
      <c r="R145" s="99"/>
      <c r="S145" s="99"/>
      <c r="T145" s="99"/>
      <c r="U145" s="99"/>
      <c r="V145" s="99"/>
      <c r="W145" s="99"/>
      <c r="X145" s="99"/>
      <c r="Y145" s="98"/>
      <c r="Z145" s="98"/>
      <c r="AA145" s="98"/>
      <c r="AB145" s="98"/>
      <c r="AC145" s="98"/>
      <c r="AD145" s="98"/>
      <c r="AE145" s="98"/>
      <c r="AF145" s="98"/>
      <c r="AG145" s="98"/>
      <c r="AH145" s="98"/>
      <c r="AI145" s="98"/>
      <c r="AJ145" s="98"/>
      <c r="AK145" s="98"/>
      <c r="AL145" s="98"/>
      <c r="AM145" s="4"/>
      <c r="AN145" s="4"/>
      <c r="AO145" s="4"/>
      <c r="AP145" s="98"/>
      <c r="AQ145" s="4"/>
      <c r="AR145" s="4"/>
      <c r="AS145" s="4"/>
      <c r="AT145" s="98"/>
      <c r="AU145" s="98"/>
      <c r="AV145" s="98"/>
      <c r="AW145" s="98"/>
      <c r="AX145" s="98"/>
      <c r="AY145" s="98"/>
      <c r="AZ145" s="98"/>
      <c r="BA145" s="98"/>
      <c r="BB145" s="98"/>
      <c r="BC145" s="98"/>
      <c r="BD145" s="98"/>
      <c r="BE145" s="98"/>
      <c r="BF145" s="98"/>
      <c r="BG145" s="98"/>
      <c r="BH145" s="98"/>
      <c r="BI145" s="98"/>
      <c r="BJ145" s="98"/>
      <c r="BK145" s="98"/>
      <c r="BL145" s="98"/>
      <c r="BM145" s="98"/>
      <c r="BN145" s="98"/>
      <c r="BO145" s="98"/>
      <c r="BP145" s="98"/>
      <c r="BQ145" s="98"/>
      <c r="BR145" s="98"/>
      <c r="BS145" s="98"/>
      <c r="BT145" s="98"/>
      <c r="BU145" s="98"/>
      <c r="BV145" s="98"/>
      <c r="BW145" s="98"/>
      <c r="BX145" s="98"/>
      <c r="BY145" s="98"/>
      <c r="BZ145" s="98"/>
      <c r="CA145" s="98"/>
      <c r="CB145" s="98"/>
      <c r="CC145" s="98"/>
    </row>
    <row r="146" ht="15.75" customHeight="1">
      <c r="A146" s="98"/>
      <c r="B146" s="98"/>
      <c r="C146" s="98"/>
      <c r="D146" s="98"/>
      <c r="E146" s="98"/>
      <c r="F146" s="98"/>
      <c r="G146" s="98"/>
      <c r="H146" s="98"/>
      <c r="I146" s="99"/>
      <c r="J146" s="99"/>
      <c r="K146" s="99"/>
      <c r="L146" s="99"/>
      <c r="M146" s="99"/>
      <c r="N146" s="99"/>
      <c r="O146" s="99"/>
      <c r="P146" s="99"/>
      <c r="Q146" s="99"/>
      <c r="R146" s="99"/>
      <c r="S146" s="99"/>
      <c r="T146" s="99"/>
      <c r="U146" s="99"/>
      <c r="V146" s="99"/>
      <c r="W146" s="99"/>
      <c r="X146" s="99"/>
      <c r="Y146" s="98"/>
      <c r="Z146" s="98"/>
      <c r="AA146" s="98"/>
      <c r="AB146" s="98"/>
      <c r="AC146" s="98"/>
      <c r="AD146" s="98"/>
      <c r="AE146" s="98"/>
      <c r="AF146" s="98"/>
      <c r="AG146" s="98"/>
      <c r="AH146" s="98"/>
      <c r="AI146" s="98"/>
      <c r="AJ146" s="98"/>
      <c r="AK146" s="98"/>
      <c r="AL146" s="98"/>
      <c r="AM146" s="4"/>
      <c r="AN146" s="4"/>
      <c r="AO146" s="4"/>
      <c r="AP146" s="98"/>
      <c r="AQ146" s="4"/>
      <c r="AR146" s="4"/>
      <c r="AS146" s="4"/>
      <c r="AT146" s="98"/>
      <c r="AU146" s="98"/>
      <c r="AV146" s="98"/>
      <c r="AW146" s="98"/>
      <c r="AX146" s="98"/>
      <c r="AY146" s="98"/>
      <c r="AZ146" s="98"/>
      <c r="BA146" s="98"/>
      <c r="BB146" s="98"/>
      <c r="BC146" s="98"/>
      <c r="BD146" s="98"/>
      <c r="BE146" s="98"/>
      <c r="BF146" s="98"/>
      <c r="BG146" s="98"/>
      <c r="BH146" s="98"/>
      <c r="BI146" s="98"/>
      <c r="BJ146" s="98"/>
      <c r="BK146" s="98"/>
      <c r="BL146" s="98"/>
      <c r="BM146" s="98"/>
      <c r="BN146" s="98"/>
      <c r="BO146" s="98"/>
      <c r="BP146" s="98"/>
      <c r="BQ146" s="98"/>
      <c r="BR146" s="98"/>
      <c r="BS146" s="98"/>
      <c r="BT146" s="98"/>
      <c r="BU146" s="98"/>
      <c r="BV146" s="98"/>
      <c r="BW146" s="98"/>
      <c r="BX146" s="98"/>
      <c r="BY146" s="98"/>
      <c r="BZ146" s="98"/>
      <c r="CA146" s="98"/>
      <c r="CB146" s="98"/>
      <c r="CC146" s="98"/>
    </row>
    <row r="147" ht="15.75" customHeight="1">
      <c r="A147" s="98"/>
      <c r="B147" s="98"/>
      <c r="C147" s="98"/>
      <c r="D147" s="98"/>
      <c r="E147" s="98"/>
      <c r="F147" s="98"/>
      <c r="G147" s="98"/>
      <c r="H147" s="98"/>
      <c r="I147" s="99"/>
      <c r="J147" s="99"/>
      <c r="K147" s="99"/>
      <c r="L147" s="99"/>
      <c r="M147" s="99"/>
      <c r="N147" s="99"/>
      <c r="O147" s="99"/>
      <c r="P147" s="99"/>
      <c r="Q147" s="99"/>
      <c r="R147" s="99"/>
      <c r="S147" s="99"/>
      <c r="T147" s="99"/>
      <c r="U147" s="99"/>
      <c r="V147" s="99"/>
      <c r="W147" s="99"/>
      <c r="X147" s="99"/>
      <c r="Y147" s="98"/>
      <c r="Z147" s="98"/>
      <c r="AA147" s="98"/>
      <c r="AB147" s="98"/>
      <c r="AC147" s="98"/>
      <c r="AD147" s="98"/>
      <c r="AE147" s="98"/>
      <c r="AF147" s="98"/>
      <c r="AG147" s="98"/>
      <c r="AH147" s="98"/>
      <c r="AI147" s="98"/>
      <c r="AJ147" s="98"/>
      <c r="AK147" s="98"/>
      <c r="AL147" s="98"/>
      <c r="AM147" s="4"/>
      <c r="AN147" s="4"/>
      <c r="AO147" s="4"/>
      <c r="AP147" s="98"/>
      <c r="AQ147" s="4"/>
      <c r="AR147" s="4"/>
      <c r="AS147" s="4"/>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8"/>
      <c r="BU147" s="98"/>
      <c r="BV147" s="98"/>
      <c r="BW147" s="98"/>
      <c r="BX147" s="98"/>
      <c r="BY147" s="98"/>
      <c r="BZ147" s="98"/>
      <c r="CA147" s="98"/>
      <c r="CB147" s="98"/>
      <c r="CC147" s="98"/>
    </row>
    <row r="148" ht="15.75" customHeight="1">
      <c r="A148" s="98"/>
      <c r="B148" s="98"/>
      <c r="C148" s="98"/>
      <c r="D148" s="98"/>
      <c r="E148" s="98"/>
      <c r="F148" s="98"/>
      <c r="G148" s="98"/>
      <c r="H148" s="98"/>
      <c r="I148" s="99"/>
      <c r="J148" s="99"/>
      <c r="K148" s="99"/>
      <c r="L148" s="99"/>
      <c r="M148" s="99"/>
      <c r="N148" s="99"/>
      <c r="O148" s="99"/>
      <c r="P148" s="99"/>
      <c r="Q148" s="99"/>
      <c r="R148" s="99"/>
      <c r="S148" s="99"/>
      <c r="T148" s="99"/>
      <c r="U148" s="99"/>
      <c r="V148" s="99"/>
      <c r="W148" s="99"/>
      <c r="X148" s="99"/>
      <c r="Y148" s="98"/>
      <c r="Z148" s="98"/>
      <c r="AA148" s="98"/>
      <c r="AB148" s="98"/>
      <c r="AC148" s="98"/>
      <c r="AD148" s="98"/>
      <c r="AE148" s="98"/>
      <c r="AF148" s="98"/>
      <c r="AG148" s="98"/>
      <c r="AH148" s="98"/>
      <c r="AI148" s="98"/>
      <c r="AJ148" s="98"/>
      <c r="AK148" s="98"/>
      <c r="AL148" s="98"/>
      <c r="AM148" s="4"/>
      <c r="AN148" s="4"/>
      <c r="AO148" s="4"/>
      <c r="AP148" s="98"/>
      <c r="AQ148" s="4"/>
      <c r="AR148" s="4"/>
      <c r="AS148" s="4"/>
      <c r="AT148" s="98"/>
      <c r="AU148" s="98"/>
      <c r="AV148" s="98"/>
      <c r="AW148" s="98"/>
      <c r="AX148" s="98"/>
      <c r="AY148" s="98"/>
      <c r="AZ148" s="98"/>
      <c r="BA148" s="98"/>
      <c r="BB148" s="98"/>
      <c r="BC148" s="98"/>
      <c r="BD148" s="98"/>
      <c r="BE148" s="98"/>
      <c r="BF148" s="98"/>
      <c r="BG148" s="98"/>
      <c r="BH148" s="98"/>
      <c r="BI148" s="98"/>
      <c r="BJ148" s="98"/>
      <c r="BK148" s="98"/>
      <c r="BL148" s="98"/>
      <c r="BM148" s="98"/>
      <c r="BN148" s="98"/>
      <c r="BO148" s="98"/>
      <c r="BP148" s="98"/>
      <c r="BQ148" s="98"/>
      <c r="BR148" s="98"/>
      <c r="BS148" s="98"/>
      <c r="BT148" s="98"/>
      <c r="BU148" s="98"/>
      <c r="BV148" s="98"/>
      <c r="BW148" s="98"/>
      <c r="BX148" s="98"/>
      <c r="BY148" s="98"/>
      <c r="BZ148" s="98"/>
      <c r="CA148" s="98"/>
      <c r="CB148" s="98"/>
      <c r="CC148" s="98"/>
    </row>
    <row r="149" ht="15.75" customHeight="1">
      <c r="A149" s="98"/>
      <c r="B149" s="98"/>
      <c r="C149" s="98"/>
      <c r="D149" s="98"/>
      <c r="E149" s="98"/>
      <c r="F149" s="98"/>
      <c r="G149" s="98"/>
      <c r="H149" s="98"/>
      <c r="I149" s="99"/>
      <c r="J149" s="99"/>
      <c r="K149" s="99"/>
      <c r="L149" s="99"/>
      <c r="M149" s="99"/>
      <c r="N149" s="99"/>
      <c r="O149" s="99"/>
      <c r="P149" s="99"/>
      <c r="Q149" s="99"/>
      <c r="R149" s="99"/>
      <c r="S149" s="99"/>
      <c r="T149" s="99"/>
      <c r="U149" s="99"/>
      <c r="V149" s="99"/>
      <c r="W149" s="99"/>
      <c r="X149" s="99"/>
      <c r="Y149" s="98"/>
      <c r="Z149" s="98"/>
      <c r="AA149" s="98"/>
      <c r="AB149" s="98"/>
      <c r="AC149" s="98"/>
      <c r="AD149" s="98"/>
      <c r="AE149" s="98"/>
      <c r="AF149" s="98"/>
      <c r="AG149" s="98"/>
      <c r="AH149" s="98"/>
      <c r="AI149" s="98"/>
      <c r="AJ149" s="98"/>
      <c r="AK149" s="98"/>
      <c r="AL149" s="98"/>
      <c r="AM149" s="4"/>
      <c r="AN149" s="4"/>
      <c r="AO149" s="4"/>
      <c r="AP149" s="98"/>
      <c r="AQ149" s="4"/>
      <c r="AR149" s="4"/>
      <c r="AS149" s="4"/>
      <c r="AT149" s="98"/>
      <c r="AU149" s="98"/>
      <c r="AV149" s="98"/>
      <c r="AW149" s="98"/>
      <c r="AX149" s="98"/>
      <c r="AY149" s="98"/>
      <c r="AZ149" s="98"/>
      <c r="BA149" s="98"/>
      <c r="BB149" s="98"/>
      <c r="BC149" s="98"/>
      <c r="BD149" s="98"/>
      <c r="BE149" s="98"/>
      <c r="BF149" s="98"/>
      <c r="BG149" s="98"/>
      <c r="BH149" s="98"/>
      <c r="BI149" s="98"/>
      <c r="BJ149" s="98"/>
      <c r="BK149" s="98"/>
      <c r="BL149" s="98"/>
      <c r="BM149" s="98"/>
      <c r="BN149" s="98"/>
      <c r="BO149" s="98"/>
      <c r="BP149" s="98"/>
      <c r="BQ149" s="98"/>
      <c r="BR149" s="98"/>
      <c r="BS149" s="98"/>
      <c r="BT149" s="98"/>
      <c r="BU149" s="98"/>
      <c r="BV149" s="98"/>
      <c r="BW149" s="98"/>
      <c r="BX149" s="98"/>
      <c r="BY149" s="98"/>
      <c r="BZ149" s="98"/>
      <c r="CA149" s="98"/>
      <c r="CB149" s="98"/>
      <c r="CC149" s="98"/>
    </row>
    <row r="150" ht="15.75" customHeight="1">
      <c r="A150" s="98"/>
      <c r="B150" s="98"/>
      <c r="C150" s="98"/>
      <c r="D150" s="98"/>
      <c r="E150" s="98"/>
      <c r="F150" s="98"/>
      <c r="G150" s="98"/>
      <c r="H150" s="98"/>
      <c r="I150" s="99"/>
      <c r="J150" s="99"/>
      <c r="K150" s="99"/>
      <c r="L150" s="99"/>
      <c r="M150" s="99"/>
      <c r="N150" s="99"/>
      <c r="O150" s="99"/>
      <c r="P150" s="99"/>
      <c r="Q150" s="99"/>
      <c r="R150" s="99"/>
      <c r="S150" s="99"/>
      <c r="T150" s="99"/>
      <c r="U150" s="99"/>
      <c r="V150" s="99"/>
      <c r="W150" s="99"/>
      <c r="X150" s="99"/>
      <c r="Y150" s="98"/>
      <c r="Z150" s="98"/>
      <c r="AA150" s="98"/>
      <c r="AB150" s="98"/>
      <c r="AC150" s="98"/>
      <c r="AD150" s="98"/>
      <c r="AE150" s="98"/>
      <c r="AF150" s="98"/>
      <c r="AG150" s="98"/>
      <c r="AH150" s="98"/>
      <c r="AI150" s="98"/>
      <c r="AJ150" s="98"/>
      <c r="AK150" s="98"/>
      <c r="AL150" s="98"/>
      <c r="AM150" s="4"/>
      <c r="AN150" s="4"/>
      <c r="AO150" s="4"/>
      <c r="AP150" s="98"/>
      <c r="AQ150" s="4"/>
      <c r="AR150" s="4"/>
      <c r="AS150" s="4"/>
      <c r="AT150" s="98"/>
      <c r="AU150" s="98"/>
      <c r="AV150" s="98"/>
      <c r="AW150" s="98"/>
      <c r="AX150" s="98"/>
      <c r="AY150" s="98"/>
      <c r="AZ150" s="98"/>
      <c r="BA150" s="98"/>
      <c r="BB150" s="98"/>
      <c r="BC150" s="98"/>
      <c r="BD150" s="98"/>
      <c r="BE150" s="98"/>
      <c r="BF150" s="98"/>
      <c r="BG150" s="98"/>
      <c r="BH150" s="98"/>
      <c r="BI150" s="98"/>
      <c r="BJ150" s="98"/>
      <c r="BK150" s="98"/>
      <c r="BL150" s="98"/>
      <c r="BM150" s="98"/>
      <c r="BN150" s="98"/>
      <c r="BO150" s="98"/>
      <c r="BP150" s="98"/>
      <c r="BQ150" s="98"/>
      <c r="BR150" s="98"/>
      <c r="BS150" s="98"/>
      <c r="BT150" s="98"/>
      <c r="BU150" s="98"/>
      <c r="BV150" s="98"/>
      <c r="BW150" s="98"/>
      <c r="BX150" s="98"/>
      <c r="BY150" s="98"/>
      <c r="BZ150" s="98"/>
      <c r="CA150" s="98"/>
      <c r="CB150" s="98"/>
      <c r="CC150" s="98"/>
    </row>
    <row r="151" ht="15.75" customHeight="1">
      <c r="A151" s="98"/>
      <c r="B151" s="98"/>
      <c r="C151" s="98"/>
      <c r="D151" s="98"/>
      <c r="E151" s="98"/>
      <c r="F151" s="98"/>
      <c r="G151" s="98"/>
      <c r="H151" s="98"/>
      <c r="I151" s="99"/>
      <c r="J151" s="99"/>
      <c r="K151" s="99"/>
      <c r="L151" s="99"/>
      <c r="M151" s="99"/>
      <c r="N151" s="99"/>
      <c r="O151" s="99"/>
      <c r="P151" s="99"/>
      <c r="Q151" s="99"/>
      <c r="R151" s="99"/>
      <c r="S151" s="99"/>
      <c r="T151" s="99"/>
      <c r="U151" s="99"/>
      <c r="V151" s="99"/>
      <c r="W151" s="99"/>
      <c r="X151" s="99"/>
      <c r="Y151" s="98"/>
      <c r="Z151" s="98"/>
      <c r="AA151" s="98"/>
      <c r="AB151" s="98"/>
      <c r="AC151" s="98"/>
      <c r="AD151" s="98"/>
      <c r="AE151" s="98"/>
      <c r="AF151" s="98"/>
      <c r="AG151" s="98"/>
      <c r="AH151" s="98"/>
      <c r="AI151" s="98"/>
      <c r="AJ151" s="98"/>
      <c r="AK151" s="98"/>
      <c r="AL151" s="98"/>
      <c r="AM151" s="4"/>
      <c r="AN151" s="4"/>
      <c r="AO151" s="4"/>
      <c r="AP151" s="98"/>
      <c r="AQ151" s="4"/>
      <c r="AR151" s="4"/>
      <c r="AS151" s="4"/>
      <c r="AT151" s="98"/>
      <c r="AU151" s="98"/>
      <c r="AV151" s="98"/>
      <c r="AW151" s="98"/>
      <c r="AX151" s="98"/>
      <c r="AY151" s="98"/>
      <c r="AZ151" s="98"/>
      <c r="BA151" s="98"/>
      <c r="BB151" s="98"/>
      <c r="BC151" s="98"/>
      <c r="BD151" s="98"/>
      <c r="BE151" s="98"/>
      <c r="BF151" s="98"/>
      <c r="BG151" s="98"/>
      <c r="BH151" s="98"/>
      <c r="BI151" s="98"/>
      <c r="BJ151" s="98"/>
      <c r="BK151" s="98"/>
      <c r="BL151" s="98"/>
      <c r="BM151" s="98"/>
      <c r="BN151" s="98"/>
      <c r="BO151" s="98"/>
      <c r="BP151" s="98"/>
      <c r="BQ151" s="98"/>
      <c r="BR151" s="98"/>
      <c r="BS151" s="98"/>
      <c r="BT151" s="98"/>
      <c r="BU151" s="98"/>
      <c r="BV151" s="98"/>
      <c r="BW151" s="98"/>
      <c r="BX151" s="98"/>
      <c r="BY151" s="98"/>
      <c r="BZ151" s="98"/>
      <c r="CA151" s="98"/>
      <c r="CB151" s="98"/>
      <c r="CC151" s="98"/>
    </row>
    <row r="152" ht="15.75" customHeight="1">
      <c r="A152" s="98"/>
      <c r="B152" s="98"/>
      <c r="C152" s="98"/>
      <c r="D152" s="98"/>
      <c r="E152" s="98"/>
      <c r="F152" s="98"/>
      <c r="G152" s="98"/>
      <c r="H152" s="98"/>
      <c r="I152" s="99"/>
      <c r="J152" s="99"/>
      <c r="K152" s="99"/>
      <c r="L152" s="99"/>
      <c r="M152" s="99"/>
      <c r="N152" s="99"/>
      <c r="O152" s="99"/>
      <c r="P152" s="99"/>
      <c r="Q152" s="99"/>
      <c r="R152" s="99"/>
      <c r="S152" s="99"/>
      <c r="T152" s="99"/>
      <c r="U152" s="99"/>
      <c r="V152" s="99"/>
      <c r="W152" s="99"/>
      <c r="X152" s="99"/>
      <c r="Y152" s="98"/>
      <c r="Z152" s="98"/>
      <c r="AA152" s="98"/>
      <c r="AB152" s="98"/>
      <c r="AC152" s="98"/>
      <c r="AD152" s="98"/>
      <c r="AE152" s="98"/>
      <c r="AF152" s="98"/>
      <c r="AG152" s="98"/>
      <c r="AH152" s="98"/>
      <c r="AI152" s="98"/>
      <c r="AJ152" s="98"/>
      <c r="AK152" s="98"/>
      <c r="AL152" s="98"/>
      <c r="AM152" s="4"/>
      <c r="AN152" s="4"/>
      <c r="AO152" s="4"/>
      <c r="AP152" s="98"/>
      <c r="AQ152" s="4"/>
      <c r="AR152" s="4"/>
      <c r="AS152" s="4"/>
      <c r="AT152" s="98"/>
      <c r="AU152" s="98"/>
      <c r="AV152" s="98"/>
      <c r="AW152" s="98"/>
      <c r="AX152" s="98"/>
      <c r="AY152" s="98"/>
      <c r="AZ152" s="98"/>
      <c r="BA152" s="98"/>
      <c r="BB152" s="98"/>
      <c r="BC152" s="98"/>
      <c r="BD152" s="98"/>
      <c r="BE152" s="98"/>
      <c r="BF152" s="98"/>
      <c r="BG152" s="98"/>
      <c r="BH152" s="98"/>
      <c r="BI152" s="98"/>
      <c r="BJ152" s="98"/>
      <c r="BK152" s="98"/>
      <c r="BL152" s="98"/>
      <c r="BM152" s="98"/>
      <c r="BN152" s="98"/>
      <c r="BO152" s="98"/>
      <c r="BP152" s="98"/>
      <c r="BQ152" s="98"/>
      <c r="BR152" s="98"/>
      <c r="BS152" s="98"/>
      <c r="BT152" s="98"/>
      <c r="BU152" s="98"/>
      <c r="BV152" s="98"/>
      <c r="BW152" s="98"/>
      <c r="BX152" s="98"/>
      <c r="BY152" s="98"/>
      <c r="BZ152" s="98"/>
      <c r="CA152" s="98"/>
      <c r="CB152" s="98"/>
      <c r="CC152" s="98"/>
    </row>
    <row r="153" ht="15.75" customHeight="1">
      <c r="A153" s="98"/>
      <c r="B153" s="98"/>
      <c r="C153" s="98"/>
      <c r="D153" s="98"/>
      <c r="E153" s="98"/>
      <c r="F153" s="98"/>
      <c r="G153" s="98"/>
      <c r="H153" s="98"/>
      <c r="I153" s="99"/>
      <c r="J153" s="99"/>
      <c r="K153" s="99"/>
      <c r="L153" s="99"/>
      <c r="M153" s="99"/>
      <c r="N153" s="99"/>
      <c r="O153" s="99"/>
      <c r="P153" s="99"/>
      <c r="Q153" s="99"/>
      <c r="R153" s="99"/>
      <c r="S153" s="99"/>
      <c r="T153" s="99"/>
      <c r="U153" s="99"/>
      <c r="V153" s="99"/>
      <c r="W153" s="99"/>
      <c r="X153" s="99"/>
      <c r="Y153" s="98"/>
      <c r="Z153" s="98"/>
      <c r="AA153" s="98"/>
      <c r="AB153" s="98"/>
      <c r="AC153" s="98"/>
      <c r="AD153" s="98"/>
      <c r="AE153" s="98"/>
      <c r="AF153" s="98"/>
      <c r="AG153" s="98"/>
      <c r="AH153" s="98"/>
      <c r="AI153" s="98"/>
      <c r="AJ153" s="98"/>
      <c r="AK153" s="98"/>
      <c r="AL153" s="98"/>
      <c r="AM153" s="4"/>
      <c r="AN153" s="4"/>
      <c r="AO153" s="4"/>
      <c r="AP153" s="98"/>
      <c r="AQ153" s="4"/>
      <c r="AR153" s="4"/>
      <c r="AS153" s="4"/>
      <c r="AT153" s="98"/>
      <c r="AU153" s="98"/>
      <c r="AV153" s="98"/>
      <c r="AW153" s="98"/>
      <c r="AX153" s="98"/>
      <c r="AY153" s="98"/>
      <c r="AZ153" s="98"/>
      <c r="BA153" s="98"/>
      <c r="BB153" s="98"/>
      <c r="BC153" s="98"/>
      <c r="BD153" s="98"/>
      <c r="BE153" s="98"/>
      <c r="BF153" s="98"/>
      <c r="BG153" s="98"/>
      <c r="BH153" s="98"/>
      <c r="BI153" s="98"/>
      <c r="BJ153" s="98"/>
      <c r="BK153" s="98"/>
      <c r="BL153" s="98"/>
      <c r="BM153" s="98"/>
      <c r="BN153" s="98"/>
      <c r="BO153" s="98"/>
      <c r="BP153" s="98"/>
      <c r="BQ153" s="98"/>
      <c r="BR153" s="98"/>
      <c r="BS153" s="98"/>
      <c r="BT153" s="98"/>
      <c r="BU153" s="98"/>
      <c r="BV153" s="98"/>
      <c r="BW153" s="98"/>
      <c r="BX153" s="98"/>
      <c r="BY153" s="98"/>
      <c r="BZ153" s="98"/>
      <c r="CA153" s="98"/>
      <c r="CB153" s="98"/>
      <c r="CC153" s="98"/>
    </row>
    <row r="154" ht="15.75" customHeight="1">
      <c r="A154" s="98"/>
      <c r="B154" s="98"/>
      <c r="C154" s="98"/>
      <c r="D154" s="98"/>
      <c r="E154" s="98"/>
      <c r="F154" s="98"/>
      <c r="G154" s="98"/>
      <c r="H154" s="98"/>
      <c r="I154" s="99"/>
      <c r="J154" s="99"/>
      <c r="K154" s="99"/>
      <c r="L154" s="99"/>
      <c r="M154" s="99"/>
      <c r="N154" s="99"/>
      <c r="O154" s="99"/>
      <c r="P154" s="99"/>
      <c r="Q154" s="99"/>
      <c r="R154" s="99"/>
      <c r="S154" s="99"/>
      <c r="T154" s="99"/>
      <c r="U154" s="99"/>
      <c r="V154" s="99"/>
      <c r="W154" s="99"/>
      <c r="X154" s="99"/>
      <c r="Y154" s="98"/>
      <c r="Z154" s="98"/>
      <c r="AA154" s="98"/>
      <c r="AB154" s="98"/>
      <c r="AC154" s="98"/>
      <c r="AD154" s="98"/>
      <c r="AE154" s="98"/>
      <c r="AF154" s="98"/>
      <c r="AG154" s="98"/>
      <c r="AH154" s="98"/>
      <c r="AI154" s="98"/>
      <c r="AJ154" s="98"/>
      <c r="AK154" s="98"/>
      <c r="AL154" s="98"/>
      <c r="AM154" s="4"/>
      <c r="AN154" s="4"/>
      <c r="AO154" s="4"/>
      <c r="AP154" s="98"/>
      <c r="AQ154" s="4"/>
      <c r="AR154" s="4"/>
      <c r="AS154" s="4"/>
      <c r="AT154" s="98"/>
      <c r="AU154" s="98"/>
      <c r="AV154" s="98"/>
      <c r="AW154" s="98"/>
      <c r="AX154" s="98"/>
      <c r="AY154" s="98"/>
      <c r="AZ154" s="98"/>
      <c r="BA154" s="98"/>
      <c r="BB154" s="98"/>
      <c r="BC154" s="98"/>
      <c r="BD154" s="98"/>
      <c r="BE154" s="98"/>
      <c r="BF154" s="98"/>
      <c r="BG154" s="98"/>
      <c r="BH154" s="98"/>
      <c r="BI154" s="98"/>
      <c r="BJ154" s="98"/>
      <c r="BK154" s="98"/>
      <c r="BL154" s="98"/>
      <c r="BM154" s="98"/>
      <c r="BN154" s="98"/>
      <c r="BO154" s="98"/>
      <c r="BP154" s="98"/>
      <c r="BQ154" s="98"/>
      <c r="BR154" s="98"/>
      <c r="BS154" s="98"/>
      <c r="BT154" s="98"/>
      <c r="BU154" s="98"/>
      <c r="BV154" s="98"/>
      <c r="BW154" s="98"/>
      <c r="BX154" s="98"/>
      <c r="BY154" s="98"/>
      <c r="BZ154" s="98"/>
      <c r="CA154" s="98"/>
      <c r="CB154" s="98"/>
      <c r="CC154" s="98"/>
    </row>
    <row r="155" ht="15.75" customHeight="1">
      <c r="A155" s="98"/>
      <c r="B155" s="98"/>
      <c r="C155" s="98"/>
      <c r="D155" s="98"/>
      <c r="E155" s="98"/>
      <c r="F155" s="98"/>
      <c r="G155" s="98"/>
      <c r="H155" s="98"/>
      <c r="I155" s="99"/>
      <c r="J155" s="99"/>
      <c r="K155" s="99"/>
      <c r="L155" s="99"/>
      <c r="M155" s="99"/>
      <c r="N155" s="99"/>
      <c r="O155" s="99"/>
      <c r="P155" s="99"/>
      <c r="Q155" s="99"/>
      <c r="R155" s="99"/>
      <c r="S155" s="99"/>
      <c r="T155" s="99"/>
      <c r="U155" s="99"/>
      <c r="V155" s="99"/>
      <c r="W155" s="99"/>
      <c r="X155" s="99"/>
      <c r="Y155" s="98"/>
      <c r="Z155" s="98"/>
      <c r="AA155" s="98"/>
      <c r="AB155" s="98"/>
      <c r="AC155" s="98"/>
      <c r="AD155" s="98"/>
      <c r="AE155" s="98"/>
      <c r="AF155" s="98"/>
      <c r="AG155" s="98"/>
      <c r="AH155" s="98"/>
      <c r="AI155" s="98"/>
      <c r="AJ155" s="98"/>
      <c r="AK155" s="98"/>
      <c r="AL155" s="98"/>
      <c r="AM155" s="4"/>
      <c r="AN155" s="4"/>
      <c r="AO155" s="4"/>
      <c r="AP155" s="98"/>
      <c r="AQ155" s="4"/>
      <c r="AR155" s="4"/>
      <c r="AS155" s="4"/>
      <c r="AT155" s="98"/>
      <c r="AU155" s="98"/>
      <c r="AV155" s="98"/>
      <c r="AW155" s="98"/>
      <c r="AX155" s="98"/>
      <c r="AY155" s="98"/>
      <c r="AZ155" s="98"/>
      <c r="BA155" s="98"/>
      <c r="BB155" s="98"/>
      <c r="BC155" s="98"/>
      <c r="BD155" s="98"/>
      <c r="BE155" s="98"/>
      <c r="BF155" s="98"/>
      <c r="BG155" s="98"/>
      <c r="BH155" s="98"/>
      <c r="BI155" s="98"/>
      <c r="BJ155" s="98"/>
      <c r="BK155" s="98"/>
      <c r="BL155" s="98"/>
      <c r="BM155" s="98"/>
      <c r="BN155" s="98"/>
      <c r="BO155" s="98"/>
      <c r="BP155" s="98"/>
      <c r="BQ155" s="98"/>
      <c r="BR155" s="98"/>
      <c r="BS155" s="98"/>
      <c r="BT155" s="98"/>
      <c r="BU155" s="98"/>
      <c r="BV155" s="98"/>
      <c r="BW155" s="98"/>
      <c r="BX155" s="98"/>
      <c r="BY155" s="98"/>
      <c r="BZ155" s="98"/>
      <c r="CA155" s="98"/>
      <c r="CB155" s="98"/>
      <c r="CC155" s="98"/>
    </row>
    <row r="156" ht="15.75" customHeight="1">
      <c r="A156" s="98"/>
      <c r="B156" s="98"/>
      <c r="C156" s="98"/>
      <c r="D156" s="98"/>
      <c r="E156" s="98"/>
      <c r="F156" s="98"/>
      <c r="G156" s="98"/>
      <c r="H156" s="98"/>
      <c r="I156" s="99"/>
      <c r="J156" s="99"/>
      <c r="K156" s="99"/>
      <c r="L156" s="99"/>
      <c r="M156" s="99"/>
      <c r="N156" s="99"/>
      <c r="O156" s="99"/>
      <c r="P156" s="99"/>
      <c r="Q156" s="99"/>
      <c r="R156" s="99"/>
      <c r="S156" s="99"/>
      <c r="T156" s="99"/>
      <c r="U156" s="99"/>
      <c r="V156" s="99"/>
      <c r="W156" s="99"/>
      <c r="X156" s="99"/>
      <c r="Y156" s="98"/>
      <c r="Z156" s="98"/>
      <c r="AA156" s="98"/>
      <c r="AB156" s="98"/>
      <c r="AC156" s="98"/>
      <c r="AD156" s="98"/>
      <c r="AE156" s="98"/>
      <c r="AF156" s="98"/>
      <c r="AG156" s="98"/>
      <c r="AH156" s="98"/>
      <c r="AI156" s="98"/>
      <c r="AJ156" s="98"/>
      <c r="AK156" s="98"/>
      <c r="AL156" s="98"/>
      <c r="AM156" s="4"/>
      <c r="AN156" s="4"/>
      <c r="AO156" s="4"/>
      <c r="AP156" s="98"/>
      <c r="AQ156" s="4"/>
      <c r="AR156" s="4"/>
      <c r="AS156" s="4"/>
      <c r="AT156" s="98"/>
      <c r="AU156" s="98"/>
      <c r="AV156" s="98"/>
      <c r="AW156" s="98"/>
      <c r="AX156" s="98"/>
      <c r="AY156" s="98"/>
      <c r="AZ156" s="98"/>
      <c r="BA156" s="98"/>
      <c r="BB156" s="98"/>
      <c r="BC156" s="98"/>
      <c r="BD156" s="98"/>
      <c r="BE156" s="98"/>
      <c r="BF156" s="98"/>
      <c r="BG156" s="98"/>
      <c r="BH156" s="98"/>
      <c r="BI156" s="98"/>
      <c r="BJ156" s="98"/>
      <c r="BK156" s="98"/>
      <c r="BL156" s="98"/>
      <c r="BM156" s="98"/>
      <c r="BN156" s="98"/>
      <c r="BO156" s="98"/>
      <c r="BP156" s="98"/>
      <c r="BQ156" s="98"/>
      <c r="BR156" s="98"/>
      <c r="BS156" s="98"/>
      <c r="BT156" s="98"/>
      <c r="BU156" s="98"/>
      <c r="BV156" s="98"/>
      <c r="BW156" s="98"/>
      <c r="BX156" s="98"/>
      <c r="BY156" s="98"/>
      <c r="BZ156" s="98"/>
      <c r="CA156" s="98"/>
      <c r="CB156" s="98"/>
      <c r="CC156" s="98"/>
    </row>
    <row r="157" ht="15.75" customHeight="1">
      <c r="A157" s="98"/>
      <c r="B157" s="98"/>
      <c r="C157" s="98"/>
      <c r="D157" s="98"/>
      <c r="E157" s="98"/>
      <c r="F157" s="98"/>
      <c r="G157" s="98"/>
      <c r="H157" s="98"/>
      <c r="I157" s="99"/>
      <c r="J157" s="99"/>
      <c r="K157" s="99"/>
      <c r="L157" s="99"/>
      <c r="M157" s="99"/>
      <c r="N157" s="99"/>
      <c r="O157" s="99"/>
      <c r="P157" s="99"/>
      <c r="Q157" s="99"/>
      <c r="R157" s="99"/>
      <c r="S157" s="99"/>
      <c r="T157" s="99"/>
      <c r="U157" s="99"/>
      <c r="V157" s="99"/>
      <c r="W157" s="99"/>
      <c r="X157" s="99"/>
      <c r="Y157" s="98"/>
      <c r="Z157" s="98"/>
      <c r="AA157" s="98"/>
      <c r="AB157" s="98"/>
      <c r="AC157" s="98"/>
      <c r="AD157" s="98"/>
      <c r="AE157" s="98"/>
      <c r="AF157" s="98"/>
      <c r="AG157" s="98"/>
      <c r="AH157" s="98"/>
      <c r="AI157" s="98"/>
      <c r="AJ157" s="98"/>
      <c r="AK157" s="98"/>
      <c r="AL157" s="98"/>
      <c r="AM157" s="4"/>
      <c r="AN157" s="4"/>
      <c r="AO157" s="4"/>
      <c r="AP157" s="98"/>
      <c r="AQ157" s="4"/>
      <c r="AR157" s="4"/>
      <c r="AS157" s="4"/>
      <c r="AT157" s="98"/>
      <c r="AU157" s="98"/>
      <c r="AV157" s="98"/>
      <c r="AW157" s="98"/>
      <c r="AX157" s="98"/>
      <c r="AY157" s="98"/>
      <c r="AZ157" s="98"/>
      <c r="BA157" s="98"/>
      <c r="BB157" s="98"/>
      <c r="BC157" s="98"/>
      <c r="BD157" s="98"/>
      <c r="BE157" s="98"/>
      <c r="BF157" s="98"/>
      <c r="BG157" s="98"/>
      <c r="BH157" s="98"/>
      <c r="BI157" s="98"/>
      <c r="BJ157" s="98"/>
      <c r="BK157" s="98"/>
      <c r="BL157" s="98"/>
      <c r="BM157" s="98"/>
      <c r="BN157" s="98"/>
      <c r="BO157" s="98"/>
      <c r="BP157" s="98"/>
      <c r="BQ157" s="98"/>
      <c r="BR157" s="98"/>
      <c r="BS157" s="98"/>
      <c r="BT157" s="98"/>
      <c r="BU157" s="98"/>
      <c r="BV157" s="98"/>
      <c r="BW157" s="98"/>
      <c r="BX157" s="98"/>
      <c r="BY157" s="98"/>
      <c r="BZ157" s="98"/>
      <c r="CA157" s="98"/>
      <c r="CB157" s="98"/>
      <c r="CC157" s="98"/>
    </row>
    <row r="158" ht="15.75" customHeight="1">
      <c r="A158" s="98"/>
      <c r="B158" s="98"/>
      <c r="C158" s="98"/>
      <c r="D158" s="98"/>
      <c r="E158" s="98"/>
      <c r="F158" s="98"/>
      <c r="G158" s="98"/>
      <c r="H158" s="98"/>
      <c r="I158" s="99"/>
      <c r="J158" s="99"/>
      <c r="K158" s="99"/>
      <c r="L158" s="99"/>
      <c r="M158" s="99"/>
      <c r="N158" s="99"/>
      <c r="O158" s="99"/>
      <c r="P158" s="99"/>
      <c r="Q158" s="99"/>
      <c r="R158" s="99"/>
      <c r="S158" s="99"/>
      <c r="T158" s="99"/>
      <c r="U158" s="99"/>
      <c r="V158" s="99"/>
      <c r="W158" s="99"/>
      <c r="X158" s="99"/>
      <c r="Y158" s="98"/>
      <c r="Z158" s="98"/>
      <c r="AA158" s="98"/>
      <c r="AB158" s="98"/>
      <c r="AC158" s="98"/>
      <c r="AD158" s="98"/>
      <c r="AE158" s="98"/>
      <c r="AF158" s="98"/>
      <c r="AG158" s="98"/>
      <c r="AH158" s="98"/>
      <c r="AI158" s="98"/>
      <c r="AJ158" s="98"/>
      <c r="AK158" s="98"/>
      <c r="AL158" s="98"/>
      <c r="AM158" s="4"/>
      <c r="AN158" s="4"/>
      <c r="AO158" s="4"/>
      <c r="AP158" s="98"/>
      <c r="AQ158" s="4"/>
      <c r="AR158" s="4"/>
      <c r="AS158" s="4"/>
      <c r="AT158" s="98"/>
      <c r="AU158" s="98"/>
      <c r="AV158" s="98"/>
      <c r="AW158" s="98"/>
      <c r="AX158" s="98"/>
      <c r="AY158" s="98"/>
      <c r="AZ158" s="98"/>
      <c r="BA158" s="98"/>
      <c r="BB158" s="98"/>
      <c r="BC158" s="98"/>
      <c r="BD158" s="98"/>
      <c r="BE158" s="98"/>
      <c r="BF158" s="98"/>
      <c r="BG158" s="98"/>
      <c r="BH158" s="98"/>
      <c r="BI158" s="98"/>
      <c r="BJ158" s="98"/>
      <c r="BK158" s="98"/>
      <c r="BL158" s="98"/>
      <c r="BM158" s="98"/>
      <c r="BN158" s="98"/>
      <c r="BO158" s="98"/>
      <c r="BP158" s="98"/>
      <c r="BQ158" s="98"/>
      <c r="BR158" s="98"/>
      <c r="BS158" s="98"/>
      <c r="BT158" s="98"/>
      <c r="BU158" s="98"/>
      <c r="BV158" s="98"/>
      <c r="BW158" s="98"/>
      <c r="BX158" s="98"/>
      <c r="BY158" s="98"/>
      <c r="BZ158" s="98"/>
      <c r="CA158" s="98"/>
      <c r="CB158" s="98"/>
      <c r="CC158" s="98"/>
    </row>
    <row r="159" ht="15.75" customHeight="1">
      <c r="A159" s="98"/>
      <c r="B159" s="98"/>
      <c r="C159" s="98"/>
      <c r="D159" s="98"/>
      <c r="E159" s="98"/>
      <c r="F159" s="98"/>
      <c r="G159" s="98"/>
      <c r="H159" s="98"/>
      <c r="I159" s="99"/>
      <c r="J159" s="99"/>
      <c r="K159" s="99"/>
      <c r="L159" s="99"/>
      <c r="M159" s="99"/>
      <c r="N159" s="99"/>
      <c r="O159" s="99"/>
      <c r="P159" s="99"/>
      <c r="Q159" s="99"/>
      <c r="R159" s="99"/>
      <c r="S159" s="99"/>
      <c r="T159" s="99"/>
      <c r="U159" s="99"/>
      <c r="V159" s="99"/>
      <c r="W159" s="99"/>
      <c r="X159" s="99"/>
      <c r="Y159" s="98"/>
      <c r="Z159" s="98"/>
      <c r="AA159" s="98"/>
      <c r="AB159" s="98"/>
      <c r="AC159" s="98"/>
      <c r="AD159" s="98"/>
      <c r="AE159" s="98"/>
      <c r="AF159" s="98"/>
      <c r="AG159" s="98"/>
      <c r="AH159" s="98"/>
      <c r="AI159" s="98"/>
      <c r="AJ159" s="98"/>
      <c r="AK159" s="98"/>
      <c r="AL159" s="98"/>
      <c r="AM159" s="4"/>
      <c r="AN159" s="4"/>
      <c r="AO159" s="4"/>
      <c r="AP159" s="98"/>
      <c r="AQ159" s="4"/>
      <c r="AR159" s="4"/>
      <c r="AS159" s="4"/>
      <c r="AT159" s="98"/>
      <c r="AU159" s="98"/>
      <c r="AV159" s="98"/>
      <c r="AW159" s="98"/>
      <c r="AX159" s="98"/>
      <c r="AY159" s="98"/>
      <c r="AZ159" s="98"/>
      <c r="BA159" s="98"/>
      <c r="BB159" s="98"/>
      <c r="BC159" s="98"/>
      <c r="BD159" s="98"/>
      <c r="BE159" s="98"/>
      <c r="BF159" s="98"/>
      <c r="BG159" s="98"/>
      <c r="BH159" s="98"/>
      <c r="BI159" s="98"/>
      <c r="BJ159" s="98"/>
      <c r="BK159" s="98"/>
      <c r="BL159" s="98"/>
      <c r="BM159" s="98"/>
      <c r="BN159" s="98"/>
      <c r="BO159" s="98"/>
      <c r="BP159" s="98"/>
      <c r="BQ159" s="98"/>
      <c r="BR159" s="98"/>
      <c r="BS159" s="98"/>
      <c r="BT159" s="98"/>
      <c r="BU159" s="98"/>
      <c r="BV159" s="98"/>
      <c r="BW159" s="98"/>
      <c r="BX159" s="98"/>
      <c r="BY159" s="98"/>
      <c r="BZ159" s="98"/>
      <c r="CA159" s="98"/>
      <c r="CB159" s="98"/>
      <c r="CC159" s="98"/>
    </row>
    <row r="160" ht="15.75" customHeight="1">
      <c r="A160" s="98"/>
      <c r="B160" s="98"/>
      <c r="C160" s="98"/>
      <c r="D160" s="98"/>
      <c r="E160" s="98"/>
      <c r="F160" s="98"/>
      <c r="G160" s="98"/>
      <c r="H160" s="98"/>
      <c r="I160" s="99"/>
      <c r="J160" s="99"/>
      <c r="K160" s="99"/>
      <c r="L160" s="99"/>
      <c r="M160" s="99"/>
      <c r="N160" s="99"/>
      <c r="O160" s="99"/>
      <c r="P160" s="99"/>
      <c r="Q160" s="99"/>
      <c r="R160" s="99"/>
      <c r="S160" s="99"/>
      <c r="T160" s="99"/>
      <c r="U160" s="99"/>
      <c r="V160" s="99"/>
      <c r="W160" s="99"/>
      <c r="X160" s="99"/>
      <c r="Y160" s="98"/>
      <c r="Z160" s="98"/>
      <c r="AA160" s="98"/>
      <c r="AB160" s="98"/>
      <c r="AC160" s="98"/>
      <c r="AD160" s="98"/>
      <c r="AE160" s="98"/>
      <c r="AF160" s="98"/>
      <c r="AG160" s="98"/>
      <c r="AH160" s="98"/>
      <c r="AI160" s="98"/>
      <c r="AJ160" s="98"/>
      <c r="AK160" s="98"/>
      <c r="AL160" s="98"/>
      <c r="AM160" s="4"/>
      <c r="AN160" s="4"/>
      <c r="AO160" s="4"/>
      <c r="AP160" s="98"/>
      <c r="AQ160" s="4"/>
      <c r="AR160" s="4"/>
      <c r="AS160" s="4"/>
      <c r="AT160" s="98"/>
      <c r="AU160" s="98"/>
      <c r="AV160" s="98"/>
      <c r="AW160" s="98"/>
      <c r="AX160" s="98"/>
      <c r="AY160" s="98"/>
      <c r="AZ160" s="98"/>
      <c r="BA160" s="98"/>
      <c r="BB160" s="98"/>
      <c r="BC160" s="98"/>
      <c r="BD160" s="98"/>
      <c r="BE160" s="98"/>
      <c r="BF160" s="98"/>
      <c r="BG160" s="98"/>
      <c r="BH160" s="98"/>
      <c r="BI160" s="98"/>
      <c r="BJ160" s="98"/>
      <c r="BK160" s="98"/>
      <c r="BL160" s="98"/>
      <c r="BM160" s="98"/>
      <c r="BN160" s="98"/>
      <c r="BO160" s="98"/>
      <c r="BP160" s="98"/>
      <c r="BQ160" s="98"/>
      <c r="BR160" s="98"/>
      <c r="BS160" s="98"/>
      <c r="BT160" s="98"/>
      <c r="BU160" s="98"/>
      <c r="BV160" s="98"/>
      <c r="BW160" s="98"/>
      <c r="BX160" s="98"/>
      <c r="BY160" s="98"/>
      <c r="BZ160" s="98"/>
      <c r="CA160" s="98"/>
      <c r="CB160" s="98"/>
      <c r="CC160" s="98"/>
    </row>
    <row r="161" ht="15.75" customHeight="1">
      <c r="A161" s="98"/>
      <c r="B161" s="98"/>
      <c r="C161" s="98"/>
      <c r="D161" s="98"/>
      <c r="E161" s="98"/>
      <c r="F161" s="98"/>
      <c r="G161" s="98"/>
      <c r="H161" s="98"/>
      <c r="I161" s="99"/>
      <c r="J161" s="99"/>
      <c r="K161" s="99"/>
      <c r="L161" s="99"/>
      <c r="M161" s="99"/>
      <c r="N161" s="99"/>
      <c r="O161" s="99"/>
      <c r="P161" s="99"/>
      <c r="Q161" s="99"/>
      <c r="R161" s="99"/>
      <c r="S161" s="99"/>
      <c r="T161" s="99"/>
      <c r="U161" s="99"/>
      <c r="V161" s="99"/>
      <c r="W161" s="99"/>
      <c r="X161" s="99"/>
      <c r="Y161" s="98"/>
      <c r="Z161" s="98"/>
      <c r="AA161" s="98"/>
      <c r="AB161" s="98"/>
      <c r="AC161" s="98"/>
      <c r="AD161" s="98"/>
      <c r="AE161" s="98"/>
      <c r="AF161" s="98"/>
      <c r="AG161" s="98"/>
      <c r="AH161" s="98"/>
      <c r="AI161" s="98"/>
      <c r="AJ161" s="98"/>
      <c r="AK161" s="98"/>
      <c r="AL161" s="98"/>
      <c r="AM161" s="4"/>
      <c r="AN161" s="4"/>
      <c r="AO161" s="4"/>
      <c r="AP161" s="98"/>
      <c r="AQ161" s="4"/>
      <c r="AR161" s="4"/>
      <c r="AS161" s="4"/>
      <c r="AT161" s="98"/>
      <c r="AU161" s="98"/>
      <c r="AV161" s="98"/>
      <c r="AW161" s="98"/>
      <c r="AX161" s="98"/>
      <c r="AY161" s="98"/>
      <c r="AZ161" s="98"/>
      <c r="BA161" s="98"/>
      <c r="BB161" s="98"/>
      <c r="BC161" s="98"/>
      <c r="BD161" s="98"/>
      <c r="BE161" s="98"/>
      <c r="BF161" s="98"/>
      <c r="BG161" s="98"/>
      <c r="BH161" s="98"/>
      <c r="BI161" s="98"/>
      <c r="BJ161" s="98"/>
      <c r="BK161" s="98"/>
      <c r="BL161" s="98"/>
      <c r="BM161" s="98"/>
      <c r="BN161" s="98"/>
      <c r="BO161" s="98"/>
      <c r="BP161" s="98"/>
      <c r="BQ161" s="98"/>
      <c r="BR161" s="98"/>
      <c r="BS161" s="98"/>
      <c r="BT161" s="98"/>
      <c r="BU161" s="98"/>
      <c r="BV161" s="98"/>
      <c r="BW161" s="98"/>
      <c r="BX161" s="98"/>
      <c r="BY161" s="98"/>
      <c r="BZ161" s="98"/>
      <c r="CA161" s="98"/>
      <c r="CB161" s="98"/>
      <c r="CC161" s="98"/>
    </row>
    <row r="162" ht="15.75" customHeight="1">
      <c r="A162" s="98"/>
      <c r="B162" s="98"/>
      <c r="C162" s="98"/>
      <c r="D162" s="98"/>
      <c r="E162" s="98"/>
      <c r="F162" s="98"/>
      <c r="G162" s="98"/>
      <c r="H162" s="98"/>
      <c r="I162" s="99"/>
      <c r="J162" s="99"/>
      <c r="K162" s="99"/>
      <c r="L162" s="99"/>
      <c r="M162" s="99"/>
      <c r="N162" s="99"/>
      <c r="O162" s="99"/>
      <c r="P162" s="99"/>
      <c r="Q162" s="99"/>
      <c r="R162" s="99"/>
      <c r="S162" s="99"/>
      <c r="T162" s="99"/>
      <c r="U162" s="99"/>
      <c r="V162" s="99"/>
      <c r="W162" s="99"/>
      <c r="X162" s="99"/>
      <c r="Y162" s="98"/>
      <c r="Z162" s="98"/>
      <c r="AA162" s="98"/>
      <c r="AB162" s="98"/>
      <c r="AC162" s="98"/>
      <c r="AD162" s="98"/>
      <c r="AE162" s="98"/>
      <c r="AF162" s="98"/>
      <c r="AG162" s="98"/>
      <c r="AH162" s="98"/>
      <c r="AI162" s="98"/>
      <c r="AJ162" s="98"/>
      <c r="AK162" s="98"/>
      <c r="AL162" s="98"/>
      <c r="AM162" s="4"/>
      <c r="AN162" s="4"/>
      <c r="AO162" s="4"/>
      <c r="AP162" s="98"/>
      <c r="AQ162" s="4"/>
      <c r="AR162" s="4"/>
      <c r="AS162" s="4"/>
      <c r="AT162" s="98"/>
      <c r="AU162" s="98"/>
      <c r="AV162" s="98"/>
      <c r="AW162" s="98"/>
      <c r="AX162" s="98"/>
      <c r="AY162" s="98"/>
      <c r="AZ162" s="98"/>
      <c r="BA162" s="98"/>
      <c r="BB162" s="98"/>
      <c r="BC162" s="98"/>
      <c r="BD162" s="98"/>
      <c r="BE162" s="98"/>
      <c r="BF162" s="98"/>
      <c r="BG162" s="98"/>
      <c r="BH162" s="98"/>
      <c r="BI162" s="98"/>
      <c r="BJ162" s="98"/>
      <c r="BK162" s="98"/>
      <c r="BL162" s="98"/>
      <c r="BM162" s="98"/>
      <c r="BN162" s="98"/>
      <c r="BO162" s="98"/>
      <c r="BP162" s="98"/>
      <c r="BQ162" s="98"/>
      <c r="BR162" s="98"/>
      <c r="BS162" s="98"/>
      <c r="BT162" s="98"/>
      <c r="BU162" s="98"/>
      <c r="BV162" s="98"/>
      <c r="BW162" s="98"/>
      <c r="BX162" s="98"/>
      <c r="BY162" s="98"/>
      <c r="BZ162" s="98"/>
      <c r="CA162" s="98"/>
      <c r="CB162" s="98"/>
      <c r="CC162" s="98"/>
    </row>
    <row r="163" ht="15.75" customHeight="1">
      <c r="A163" s="98"/>
      <c r="B163" s="98"/>
      <c r="C163" s="98"/>
      <c r="D163" s="98"/>
      <c r="E163" s="98"/>
      <c r="F163" s="98"/>
      <c r="G163" s="98"/>
      <c r="H163" s="98"/>
      <c r="I163" s="99"/>
      <c r="J163" s="99"/>
      <c r="K163" s="99"/>
      <c r="L163" s="99"/>
      <c r="M163" s="99"/>
      <c r="N163" s="99"/>
      <c r="O163" s="99"/>
      <c r="P163" s="99"/>
      <c r="Q163" s="99"/>
      <c r="R163" s="99"/>
      <c r="S163" s="99"/>
      <c r="T163" s="99"/>
      <c r="U163" s="99"/>
      <c r="V163" s="99"/>
      <c r="W163" s="99"/>
      <c r="X163" s="99"/>
      <c r="Y163" s="98"/>
      <c r="Z163" s="98"/>
      <c r="AA163" s="98"/>
      <c r="AB163" s="98"/>
      <c r="AC163" s="98"/>
      <c r="AD163" s="98"/>
      <c r="AE163" s="98"/>
      <c r="AF163" s="98"/>
      <c r="AG163" s="98"/>
      <c r="AH163" s="98"/>
      <c r="AI163" s="98"/>
      <c r="AJ163" s="98"/>
      <c r="AK163" s="98"/>
      <c r="AL163" s="98"/>
      <c r="AM163" s="4"/>
      <c r="AN163" s="4"/>
      <c r="AO163" s="4"/>
      <c r="AP163" s="98"/>
      <c r="AQ163" s="4"/>
      <c r="AR163" s="4"/>
      <c r="AS163" s="4"/>
      <c r="AT163" s="98"/>
      <c r="AU163" s="98"/>
      <c r="AV163" s="98"/>
      <c r="AW163" s="98"/>
      <c r="AX163" s="98"/>
      <c r="AY163" s="98"/>
      <c r="AZ163" s="98"/>
      <c r="BA163" s="98"/>
      <c r="BB163" s="98"/>
      <c r="BC163" s="98"/>
      <c r="BD163" s="98"/>
      <c r="BE163" s="98"/>
      <c r="BF163" s="98"/>
      <c r="BG163" s="98"/>
      <c r="BH163" s="98"/>
      <c r="BI163" s="98"/>
      <c r="BJ163" s="98"/>
      <c r="BK163" s="98"/>
      <c r="BL163" s="98"/>
      <c r="BM163" s="98"/>
      <c r="BN163" s="98"/>
      <c r="BO163" s="98"/>
      <c r="BP163" s="98"/>
      <c r="BQ163" s="98"/>
      <c r="BR163" s="98"/>
      <c r="BS163" s="98"/>
      <c r="BT163" s="98"/>
      <c r="BU163" s="98"/>
      <c r="BV163" s="98"/>
      <c r="BW163" s="98"/>
      <c r="BX163" s="98"/>
      <c r="BY163" s="98"/>
      <c r="BZ163" s="98"/>
      <c r="CA163" s="98"/>
      <c r="CB163" s="98"/>
      <c r="CC163" s="98"/>
    </row>
    <row r="164" ht="15.75" customHeight="1">
      <c r="A164" s="98"/>
      <c r="B164" s="98"/>
      <c r="C164" s="98"/>
      <c r="D164" s="98"/>
      <c r="E164" s="98"/>
      <c r="F164" s="98"/>
      <c r="G164" s="98"/>
      <c r="H164" s="98"/>
      <c r="I164" s="99"/>
      <c r="J164" s="99"/>
      <c r="K164" s="99"/>
      <c r="L164" s="99"/>
      <c r="M164" s="99"/>
      <c r="N164" s="99"/>
      <c r="O164" s="99"/>
      <c r="P164" s="99"/>
      <c r="Q164" s="99"/>
      <c r="R164" s="99"/>
      <c r="S164" s="99"/>
      <c r="T164" s="99"/>
      <c r="U164" s="99"/>
      <c r="V164" s="99"/>
      <c r="W164" s="99"/>
      <c r="X164" s="99"/>
      <c r="Y164" s="98"/>
      <c r="Z164" s="98"/>
      <c r="AA164" s="98"/>
      <c r="AB164" s="98"/>
      <c r="AC164" s="98"/>
      <c r="AD164" s="98"/>
      <c r="AE164" s="98"/>
      <c r="AF164" s="98"/>
      <c r="AG164" s="98"/>
      <c r="AH164" s="98"/>
      <c r="AI164" s="98"/>
      <c r="AJ164" s="98"/>
      <c r="AK164" s="98"/>
      <c r="AL164" s="98"/>
      <c r="AM164" s="4"/>
      <c r="AN164" s="4"/>
      <c r="AO164" s="4"/>
      <c r="AP164" s="98"/>
      <c r="AQ164" s="4"/>
      <c r="AR164" s="4"/>
      <c r="AS164" s="4"/>
      <c r="AT164" s="98"/>
      <c r="AU164" s="98"/>
      <c r="AV164" s="98"/>
      <c r="AW164" s="98"/>
      <c r="AX164" s="98"/>
      <c r="AY164" s="98"/>
      <c r="AZ164" s="98"/>
      <c r="BA164" s="98"/>
      <c r="BB164" s="98"/>
      <c r="BC164" s="98"/>
      <c r="BD164" s="98"/>
      <c r="BE164" s="98"/>
      <c r="BF164" s="98"/>
      <c r="BG164" s="98"/>
      <c r="BH164" s="98"/>
      <c r="BI164" s="98"/>
      <c r="BJ164" s="98"/>
      <c r="BK164" s="98"/>
      <c r="BL164" s="98"/>
      <c r="BM164" s="98"/>
      <c r="BN164" s="98"/>
      <c r="BO164" s="98"/>
      <c r="BP164" s="98"/>
      <c r="BQ164" s="98"/>
      <c r="BR164" s="98"/>
      <c r="BS164" s="98"/>
      <c r="BT164" s="98"/>
      <c r="BU164" s="98"/>
      <c r="BV164" s="98"/>
      <c r="BW164" s="98"/>
      <c r="BX164" s="98"/>
      <c r="BY164" s="98"/>
      <c r="BZ164" s="98"/>
      <c r="CA164" s="98"/>
      <c r="CB164" s="98"/>
      <c r="CC164" s="98"/>
    </row>
    <row r="165" ht="15.75" customHeight="1">
      <c r="A165" s="98"/>
      <c r="B165" s="98"/>
      <c r="C165" s="98"/>
      <c r="D165" s="98"/>
      <c r="E165" s="98"/>
      <c r="F165" s="98"/>
      <c r="G165" s="98"/>
      <c r="H165" s="98"/>
      <c r="I165" s="99"/>
      <c r="J165" s="99"/>
      <c r="K165" s="99"/>
      <c r="L165" s="99"/>
      <c r="M165" s="99"/>
      <c r="N165" s="99"/>
      <c r="O165" s="99"/>
      <c r="P165" s="99"/>
      <c r="Q165" s="99"/>
      <c r="R165" s="99"/>
      <c r="S165" s="99"/>
      <c r="T165" s="99"/>
      <c r="U165" s="99"/>
      <c r="V165" s="99"/>
      <c r="W165" s="99"/>
      <c r="X165" s="99"/>
      <c r="Y165" s="98"/>
      <c r="Z165" s="98"/>
      <c r="AA165" s="98"/>
      <c r="AB165" s="98"/>
      <c r="AC165" s="98"/>
      <c r="AD165" s="98"/>
      <c r="AE165" s="98"/>
      <c r="AF165" s="98"/>
      <c r="AG165" s="98"/>
      <c r="AH165" s="98"/>
      <c r="AI165" s="98"/>
      <c r="AJ165" s="98"/>
      <c r="AK165" s="98"/>
      <c r="AL165" s="98"/>
      <c r="AM165" s="4"/>
      <c r="AN165" s="4"/>
      <c r="AO165" s="4"/>
      <c r="AP165" s="98"/>
      <c r="AQ165" s="4"/>
      <c r="AR165" s="4"/>
      <c r="AS165" s="4"/>
      <c r="AT165" s="98"/>
      <c r="AU165" s="98"/>
      <c r="AV165" s="98"/>
      <c r="AW165" s="98"/>
      <c r="AX165" s="98"/>
      <c r="AY165" s="98"/>
      <c r="AZ165" s="98"/>
      <c r="BA165" s="98"/>
      <c r="BB165" s="98"/>
      <c r="BC165" s="98"/>
      <c r="BD165" s="98"/>
      <c r="BE165" s="98"/>
      <c r="BF165" s="98"/>
      <c r="BG165" s="98"/>
      <c r="BH165" s="98"/>
      <c r="BI165" s="98"/>
      <c r="BJ165" s="98"/>
      <c r="BK165" s="98"/>
      <c r="BL165" s="98"/>
      <c r="BM165" s="98"/>
      <c r="BN165" s="98"/>
      <c r="BO165" s="98"/>
      <c r="BP165" s="98"/>
      <c r="BQ165" s="98"/>
      <c r="BR165" s="98"/>
      <c r="BS165" s="98"/>
      <c r="BT165" s="98"/>
      <c r="BU165" s="98"/>
      <c r="BV165" s="98"/>
      <c r="BW165" s="98"/>
      <c r="BX165" s="98"/>
      <c r="BY165" s="98"/>
      <c r="BZ165" s="98"/>
      <c r="CA165" s="98"/>
      <c r="CB165" s="98"/>
      <c r="CC165" s="98"/>
    </row>
    <row r="166" ht="15.75" customHeight="1">
      <c r="A166" s="98"/>
      <c r="B166" s="98"/>
      <c r="C166" s="98"/>
      <c r="D166" s="98"/>
      <c r="E166" s="98"/>
      <c r="F166" s="98"/>
      <c r="G166" s="98"/>
      <c r="H166" s="98"/>
      <c r="I166" s="99"/>
      <c r="J166" s="99"/>
      <c r="K166" s="99"/>
      <c r="L166" s="99"/>
      <c r="M166" s="99"/>
      <c r="N166" s="99"/>
      <c r="O166" s="99"/>
      <c r="P166" s="99"/>
      <c r="Q166" s="99"/>
      <c r="R166" s="99"/>
      <c r="S166" s="99"/>
      <c r="T166" s="99"/>
      <c r="U166" s="99"/>
      <c r="V166" s="99"/>
      <c r="W166" s="99"/>
      <c r="X166" s="99"/>
      <c r="Y166" s="98"/>
      <c r="Z166" s="98"/>
      <c r="AA166" s="98"/>
      <c r="AB166" s="98"/>
      <c r="AC166" s="98"/>
      <c r="AD166" s="98"/>
      <c r="AE166" s="98"/>
      <c r="AF166" s="98"/>
      <c r="AG166" s="98"/>
      <c r="AH166" s="98"/>
      <c r="AI166" s="98"/>
      <c r="AJ166" s="98"/>
      <c r="AK166" s="98"/>
      <c r="AL166" s="98"/>
      <c r="AM166" s="4"/>
      <c r="AN166" s="4"/>
      <c r="AO166" s="4"/>
      <c r="AP166" s="98"/>
      <c r="AQ166" s="4"/>
      <c r="AR166" s="4"/>
      <c r="AS166" s="4"/>
      <c r="AT166" s="98"/>
      <c r="AU166" s="98"/>
      <c r="AV166" s="98"/>
      <c r="AW166" s="98"/>
      <c r="AX166" s="98"/>
      <c r="AY166" s="98"/>
      <c r="AZ166" s="98"/>
      <c r="BA166" s="98"/>
      <c r="BB166" s="98"/>
      <c r="BC166" s="98"/>
      <c r="BD166" s="98"/>
      <c r="BE166" s="98"/>
      <c r="BF166" s="98"/>
      <c r="BG166" s="98"/>
      <c r="BH166" s="98"/>
      <c r="BI166" s="98"/>
      <c r="BJ166" s="98"/>
      <c r="BK166" s="98"/>
      <c r="BL166" s="98"/>
      <c r="BM166" s="98"/>
      <c r="BN166" s="98"/>
      <c r="BO166" s="98"/>
      <c r="BP166" s="98"/>
      <c r="BQ166" s="98"/>
      <c r="BR166" s="98"/>
      <c r="BS166" s="98"/>
      <c r="BT166" s="98"/>
      <c r="BU166" s="98"/>
      <c r="BV166" s="98"/>
      <c r="BW166" s="98"/>
      <c r="BX166" s="98"/>
      <c r="BY166" s="98"/>
      <c r="BZ166" s="98"/>
      <c r="CA166" s="98"/>
      <c r="CB166" s="98"/>
      <c r="CC166" s="98"/>
    </row>
    <row r="167" ht="15.75" customHeight="1">
      <c r="A167" s="98"/>
      <c r="B167" s="98"/>
      <c r="C167" s="98"/>
      <c r="D167" s="98"/>
      <c r="E167" s="98"/>
      <c r="F167" s="98"/>
      <c r="G167" s="98"/>
      <c r="H167" s="98"/>
      <c r="I167" s="99"/>
      <c r="J167" s="99"/>
      <c r="K167" s="99"/>
      <c r="L167" s="99"/>
      <c r="M167" s="99"/>
      <c r="N167" s="99"/>
      <c r="O167" s="99"/>
      <c r="P167" s="99"/>
      <c r="Q167" s="99"/>
      <c r="R167" s="99"/>
      <c r="S167" s="99"/>
      <c r="T167" s="99"/>
      <c r="U167" s="99"/>
      <c r="V167" s="99"/>
      <c r="W167" s="99"/>
      <c r="X167" s="99"/>
      <c r="Y167" s="98"/>
      <c r="Z167" s="98"/>
      <c r="AA167" s="98"/>
      <c r="AB167" s="98"/>
      <c r="AC167" s="98"/>
      <c r="AD167" s="98"/>
      <c r="AE167" s="98"/>
      <c r="AF167" s="98"/>
      <c r="AG167" s="98"/>
      <c r="AH167" s="98"/>
      <c r="AI167" s="98"/>
      <c r="AJ167" s="98"/>
      <c r="AK167" s="98"/>
      <c r="AL167" s="98"/>
      <c r="AM167" s="4"/>
      <c r="AN167" s="4"/>
      <c r="AO167" s="4"/>
      <c r="AP167" s="98"/>
      <c r="AQ167" s="4"/>
      <c r="AR167" s="4"/>
      <c r="AS167" s="4"/>
      <c r="AT167" s="98"/>
      <c r="AU167" s="98"/>
      <c r="AV167" s="98"/>
      <c r="AW167" s="98"/>
      <c r="AX167" s="98"/>
      <c r="AY167" s="98"/>
      <c r="AZ167" s="98"/>
      <c r="BA167" s="98"/>
      <c r="BB167" s="98"/>
      <c r="BC167" s="98"/>
      <c r="BD167" s="98"/>
      <c r="BE167" s="98"/>
      <c r="BF167" s="98"/>
      <c r="BG167" s="98"/>
      <c r="BH167" s="98"/>
      <c r="BI167" s="98"/>
      <c r="BJ167" s="98"/>
      <c r="BK167" s="98"/>
      <c r="BL167" s="98"/>
      <c r="BM167" s="98"/>
      <c r="BN167" s="98"/>
      <c r="BO167" s="98"/>
      <c r="BP167" s="98"/>
      <c r="BQ167" s="98"/>
      <c r="BR167" s="98"/>
      <c r="BS167" s="98"/>
      <c r="BT167" s="98"/>
      <c r="BU167" s="98"/>
      <c r="BV167" s="98"/>
      <c r="BW167" s="98"/>
      <c r="BX167" s="98"/>
      <c r="BY167" s="98"/>
      <c r="BZ167" s="98"/>
      <c r="CA167" s="98"/>
      <c r="CB167" s="98"/>
      <c r="CC167" s="98"/>
    </row>
    <row r="168" ht="15.75" customHeight="1">
      <c r="A168" s="98"/>
      <c r="B168" s="98"/>
      <c r="C168" s="98"/>
      <c r="D168" s="98"/>
      <c r="E168" s="98"/>
      <c r="F168" s="98"/>
      <c r="G168" s="98"/>
      <c r="H168" s="98"/>
      <c r="I168" s="99"/>
      <c r="J168" s="99"/>
      <c r="K168" s="99"/>
      <c r="L168" s="99"/>
      <c r="M168" s="99"/>
      <c r="N168" s="99"/>
      <c r="O168" s="99"/>
      <c r="P168" s="99"/>
      <c r="Q168" s="99"/>
      <c r="R168" s="99"/>
      <c r="S168" s="99"/>
      <c r="T168" s="99"/>
      <c r="U168" s="99"/>
      <c r="V168" s="99"/>
      <c r="W168" s="99"/>
      <c r="X168" s="99"/>
      <c r="Y168" s="98"/>
      <c r="Z168" s="98"/>
      <c r="AA168" s="98"/>
      <c r="AB168" s="98"/>
      <c r="AC168" s="98"/>
      <c r="AD168" s="98"/>
      <c r="AE168" s="98"/>
      <c r="AF168" s="98"/>
      <c r="AG168" s="98"/>
      <c r="AH168" s="98"/>
      <c r="AI168" s="98"/>
      <c r="AJ168" s="98"/>
      <c r="AK168" s="98"/>
      <c r="AL168" s="98"/>
      <c r="AM168" s="4"/>
      <c r="AN168" s="4"/>
      <c r="AO168" s="4"/>
      <c r="AP168" s="98"/>
      <c r="AQ168" s="4"/>
      <c r="AR168" s="4"/>
      <c r="AS168" s="4"/>
      <c r="AT168" s="98"/>
      <c r="AU168" s="98"/>
      <c r="AV168" s="98"/>
      <c r="AW168" s="98"/>
      <c r="AX168" s="98"/>
      <c r="AY168" s="98"/>
      <c r="AZ168" s="98"/>
      <c r="BA168" s="98"/>
      <c r="BB168" s="98"/>
      <c r="BC168" s="98"/>
      <c r="BD168" s="98"/>
      <c r="BE168" s="98"/>
      <c r="BF168" s="98"/>
      <c r="BG168" s="98"/>
      <c r="BH168" s="98"/>
      <c r="BI168" s="98"/>
      <c r="BJ168" s="98"/>
      <c r="BK168" s="98"/>
      <c r="BL168" s="98"/>
      <c r="BM168" s="98"/>
      <c r="BN168" s="98"/>
      <c r="BO168" s="98"/>
      <c r="BP168" s="98"/>
      <c r="BQ168" s="98"/>
      <c r="BR168" s="98"/>
      <c r="BS168" s="98"/>
      <c r="BT168" s="98"/>
      <c r="BU168" s="98"/>
      <c r="BV168" s="98"/>
      <c r="BW168" s="98"/>
      <c r="BX168" s="98"/>
      <c r="BY168" s="98"/>
      <c r="BZ168" s="98"/>
      <c r="CA168" s="98"/>
      <c r="CB168" s="98"/>
      <c r="CC168" s="98"/>
    </row>
    <row r="169" ht="15.75" customHeight="1">
      <c r="A169" s="98"/>
      <c r="B169" s="98"/>
      <c r="C169" s="98"/>
      <c r="D169" s="98"/>
      <c r="E169" s="98"/>
      <c r="F169" s="98"/>
      <c r="G169" s="98"/>
      <c r="H169" s="98"/>
      <c r="I169" s="99"/>
      <c r="J169" s="99"/>
      <c r="K169" s="99"/>
      <c r="L169" s="99"/>
      <c r="M169" s="99"/>
      <c r="N169" s="99"/>
      <c r="O169" s="99"/>
      <c r="P169" s="99"/>
      <c r="Q169" s="99"/>
      <c r="R169" s="99"/>
      <c r="S169" s="99"/>
      <c r="T169" s="99"/>
      <c r="U169" s="99"/>
      <c r="V169" s="99"/>
      <c r="W169" s="99"/>
      <c r="X169" s="99"/>
      <c r="Y169" s="98"/>
      <c r="Z169" s="98"/>
      <c r="AA169" s="98"/>
      <c r="AB169" s="98"/>
      <c r="AC169" s="98"/>
      <c r="AD169" s="98"/>
      <c r="AE169" s="98"/>
      <c r="AF169" s="98"/>
      <c r="AG169" s="98"/>
      <c r="AH169" s="98"/>
      <c r="AI169" s="98"/>
      <c r="AJ169" s="98"/>
      <c r="AK169" s="98"/>
      <c r="AL169" s="98"/>
      <c r="AM169" s="4"/>
      <c r="AN169" s="4"/>
      <c r="AO169" s="4"/>
      <c r="AP169" s="98"/>
      <c r="AQ169" s="4"/>
      <c r="AR169" s="4"/>
      <c r="AS169" s="4"/>
      <c r="AT169" s="98"/>
      <c r="AU169" s="98"/>
      <c r="AV169" s="98"/>
      <c r="AW169" s="98"/>
      <c r="AX169" s="98"/>
      <c r="AY169" s="98"/>
      <c r="AZ169" s="98"/>
      <c r="BA169" s="98"/>
      <c r="BB169" s="98"/>
      <c r="BC169" s="98"/>
      <c r="BD169" s="98"/>
      <c r="BE169" s="98"/>
      <c r="BF169" s="98"/>
      <c r="BG169" s="98"/>
      <c r="BH169" s="98"/>
      <c r="BI169" s="98"/>
      <c r="BJ169" s="98"/>
      <c r="BK169" s="98"/>
      <c r="BL169" s="98"/>
      <c r="BM169" s="98"/>
      <c r="BN169" s="98"/>
      <c r="BO169" s="98"/>
      <c r="BP169" s="98"/>
      <c r="BQ169" s="98"/>
      <c r="BR169" s="98"/>
      <c r="BS169" s="98"/>
      <c r="BT169" s="98"/>
      <c r="BU169" s="98"/>
      <c r="BV169" s="98"/>
      <c r="BW169" s="98"/>
      <c r="BX169" s="98"/>
      <c r="BY169" s="98"/>
      <c r="BZ169" s="98"/>
      <c r="CA169" s="98"/>
      <c r="CB169" s="98"/>
      <c r="CC169" s="98"/>
    </row>
    <row r="170" ht="15.75" customHeight="1">
      <c r="A170" s="98"/>
      <c r="B170" s="98"/>
      <c r="C170" s="98"/>
      <c r="D170" s="98"/>
      <c r="E170" s="98"/>
      <c r="F170" s="98"/>
      <c r="G170" s="98"/>
      <c r="H170" s="98"/>
      <c r="I170" s="99"/>
      <c r="J170" s="99"/>
      <c r="K170" s="99"/>
      <c r="L170" s="99"/>
      <c r="M170" s="99"/>
      <c r="N170" s="99"/>
      <c r="O170" s="99"/>
      <c r="P170" s="99"/>
      <c r="Q170" s="99"/>
      <c r="R170" s="99"/>
      <c r="S170" s="99"/>
      <c r="T170" s="99"/>
      <c r="U170" s="99"/>
      <c r="V170" s="99"/>
      <c r="W170" s="99"/>
      <c r="X170" s="99"/>
      <c r="Y170" s="98"/>
      <c r="Z170" s="98"/>
      <c r="AA170" s="98"/>
      <c r="AB170" s="98"/>
      <c r="AC170" s="98"/>
      <c r="AD170" s="98"/>
      <c r="AE170" s="98"/>
      <c r="AF170" s="98"/>
      <c r="AG170" s="98"/>
      <c r="AH170" s="98"/>
      <c r="AI170" s="98"/>
      <c r="AJ170" s="98"/>
      <c r="AK170" s="98"/>
      <c r="AL170" s="98"/>
      <c r="AM170" s="4"/>
      <c r="AN170" s="4"/>
      <c r="AO170" s="4"/>
      <c r="AP170" s="98"/>
      <c r="AQ170" s="4"/>
      <c r="AR170" s="4"/>
      <c r="AS170" s="4"/>
      <c r="AT170" s="98"/>
      <c r="AU170" s="98"/>
      <c r="AV170" s="98"/>
      <c r="AW170" s="98"/>
      <c r="AX170" s="98"/>
      <c r="AY170" s="98"/>
      <c r="AZ170" s="98"/>
      <c r="BA170" s="98"/>
      <c r="BB170" s="98"/>
      <c r="BC170" s="98"/>
      <c r="BD170" s="98"/>
      <c r="BE170" s="98"/>
      <c r="BF170" s="98"/>
      <c r="BG170" s="98"/>
      <c r="BH170" s="98"/>
      <c r="BI170" s="98"/>
      <c r="BJ170" s="98"/>
      <c r="BK170" s="98"/>
      <c r="BL170" s="98"/>
      <c r="BM170" s="98"/>
      <c r="BN170" s="98"/>
      <c r="BO170" s="98"/>
      <c r="BP170" s="98"/>
      <c r="BQ170" s="98"/>
      <c r="BR170" s="98"/>
      <c r="BS170" s="98"/>
      <c r="BT170" s="98"/>
      <c r="BU170" s="98"/>
      <c r="BV170" s="98"/>
      <c r="BW170" s="98"/>
      <c r="BX170" s="98"/>
      <c r="BY170" s="98"/>
      <c r="BZ170" s="98"/>
      <c r="CA170" s="98"/>
      <c r="CB170" s="98"/>
      <c r="CC170" s="98"/>
    </row>
    <row r="171" ht="15.75" customHeight="1">
      <c r="A171" s="98"/>
      <c r="B171" s="98"/>
      <c r="C171" s="98"/>
      <c r="D171" s="98"/>
      <c r="E171" s="98"/>
      <c r="F171" s="98"/>
      <c r="G171" s="98"/>
      <c r="H171" s="98"/>
      <c r="I171" s="99"/>
      <c r="J171" s="99"/>
      <c r="K171" s="99"/>
      <c r="L171" s="99"/>
      <c r="M171" s="99"/>
      <c r="N171" s="99"/>
      <c r="O171" s="99"/>
      <c r="P171" s="99"/>
      <c r="Q171" s="99"/>
      <c r="R171" s="99"/>
      <c r="S171" s="99"/>
      <c r="T171" s="99"/>
      <c r="U171" s="99"/>
      <c r="V171" s="99"/>
      <c r="W171" s="99"/>
      <c r="X171" s="99"/>
      <c r="Y171" s="98"/>
      <c r="Z171" s="98"/>
      <c r="AA171" s="98"/>
      <c r="AB171" s="98"/>
      <c r="AC171" s="98"/>
      <c r="AD171" s="98"/>
      <c r="AE171" s="98"/>
      <c r="AF171" s="98"/>
      <c r="AG171" s="98"/>
      <c r="AH171" s="98"/>
      <c r="AI171" s="98"/>
      <c r="AJ171" s="98"/>
      <c r="AK171" s="98"/>
      <c r="AL171" s="98"/>
      <c r="AM171" s="4"/>
      <c r="AN171" s="4"/>
      <c r="AO171" s="4"/>
      <c r="AP171" s="98"/>
      <c r="AQ171" s="4"/>
      <c r="AR171" s="4"/>
      <c r="AS171" s="4"/>
      <c r="AT171" s="98"/>
      <c r="AU171" s="98"/>
      <c r="AV171" s="98"/>
      <c r="AW171" s="98"/>
      <c r="AX171" s="98"/>
      <c r="AY171" s="98"/>
      <c r="AZ171" s="98"/>
      <c r="BA171" s="98"/>
      <c r="BB171" s="98"/>
      <c r="BC171" s="98"/>
      <c r="BD171" s="98"/>
      <c r="BE171" s="98"/>
      <c r="BF171" s="98"/>
      <c r="BG171" s="98"/>
      <c r="BH171" s="98"/>
      <c r="BI171" s="98"/>
      <c r="BJ171" s="98"/>
      <c r="BK171" s="98"/>
      <c r="BL171" s="98"/>
      <c r="BM171" s="98"/>
      <c r="BN171" s="98"/>
      <c r="BO171" s="98"/>
      <c r="BP171" s="98"/>
      <c r="BQ171" s="98"/>
      <c r="BR171" s="98"/>
      <c r="BS171" s="98"/>
      <c r="BT171" s="98"/>
      <c r="BU171" s="98"/>
      <c r="BV171" s="98"/>
      <c r="BW171" s="98"/>
      <c r="BX171" s="98"/>
      <c r="BY171" s="98"/>
      <c r="BZ171" s="98"/>
      <c r="CA171" s="98"/>
      <c r="CB171" s="98"/>
      <c r="CC171" s="98"/>
    </row>
    <row r="172" ht="15.75" customHeight="1">
      <c r="A172" s="98"/>
      <c r="B172" s="98"/>
      <c r="C172" s="98"/>
      <c r="D172" s="98"/>
      <c r="E172" s="98"/>
      <c r="F172" s="98"/>
      <c r="G172" s="98"/>
      <c r="H172" s="98"/>
      <c r="I172" s="99"/>
      <c r="J172" s="99"/>
      <c r="K172" s="99"/>
      <c r="L172" s="99"/>
      <c r="M172" s="99"/>
      <c r="N172" s="99"/>
      <c r="O172" s="99"/>
      <c r="P172" s="99"/>
      <c r="Q172" s="99"/>
      <c r="R172" s="99"/>
      <c r="S172" s="99"/>
      <c r="T172" s="99"/>
      <c r="U172" s="99"/>
      <c r="V172" s="99"/>
      <c r="W172" s="99"/>
      <c r="X172" s="99"/>
      <c r="Y172" s="98"/>
      <c r="Z172" s="98"/>
      <c r="AA172" s="98"/>
      <c r="AB172" s="98"/>
      <c r="AC172" s="98"/>
      <c r="AD172" s="98"/>
      <c r="AE172" s="98"/>
      <c r="AF172" s="98"/>
      <c r="AG172" s="98"/>
      <c r="AH172" s="98"/>
      <c r="AI172" s="98"/>
      <c r="AJ172" s="98"/>
      <c r="AK172" s="98"/>
      <c r="AL172" s="98"/>
      <c r="AM172" s="4"/>
      <c r="AN172" s="4"/>
      <c r="AO172" s="4"/>
      <c r="AP172" s="98"/>
      <c r="AQ172" s="4"/>
      <c r="AR172" s="4"/>
      <c r="AS172" s="4"/>
      <c r="AT172" s="98"/>
      <c r="AU172" s="98"/>
      <c r="AV172" s="98"/>
      <c r="AW172" s="98"/>
      <c r="AX172" s="98"/>
      <c r="AY172" s="98"/>
      <c r="AZ172" s="98"/>
      <c r="BA172" s="98"/>
      <c r="BB172" s="98"/>
      <c r="BC172" s="98"/>
      <c r="BD172" s="98"/>
      <c r="BE172" s="98"/>
      <c r="BF172" s="98"/>
      <c r="BG172" s="98"/>
      <c r="BH172" s="98"/>
      <c r="BI172" s="98"/>
      <c r="BJ172" s="98"/>
      <c r="BK172" s="98"/>
      <c r="BL172" s="98"/>
      <c r="BM172" s="98"/>
      <c r="BN172" s="98"/>
      <c r="BO172" s="98"/>
      <c r="BP172" s="98"/>
      <c r="BQ172" s="98"/>
      <c r="BR172" s="98"/>
      <c r="BS172" s="98"/>
      <c r="BT172" s="98"/>
      <c r="BU172" s="98"/>
      <c r="BV172" s="98"/>
      <c r="BW172" s="98"/>
      <c r="BX172" s="98"/>
      <c r="BY172" s="98"/>
      <c r="BZ172" s="98"/>
      <c r="CA172" s="98"/>
      <c r="CB172" s="98"/>
      <c r="CC172" s="98"/>
    </row>
    <row r="173" ht="15.75" customHeight="1">
      <c r="A173" s="98"/>
      <c r="B173" s="98"/>
      <c r="C173" s="98"/>
      <c r="D173" s="98"/>
      <c r="E173" s="98"/>
      <c r="F173" s="98"/>
      <c r="G173" s="98"/>
      <c r="H173" s="98"/>
      <c r="I173" s="99"/>
      <c r="J173" s="99"/>
      <c r="K173" s="99"/>
      <c r="L173" s="99"/>
      <c r="M173" s="99"/>
      <c r="N173" s="99"/>
      <c r="O173" s="99"/>
      <c r="P173" s="99"/>
      <c r="Q173" s="99"/>
      <c r="R173" s="99"/>
      <c r="S173" s="99"/>
      <c r="T173" s="99"/>
      <c r="U173" s="99"/>
      <c r="V173" s="99"/>
      <c r="W173" s="99"/>
      <c r="X173" s="99"/>
      <c r="Y173" s="98"/>
      <c r="Z173" s="98"/>
      <c r="AA173" s="98"/>
      <c r="AB173" s="98"/>
      <c r="AC173" s="98"/>
      <c r="AD173" s="98"/>
      <c r="AE173" s="98"/>
      <c r="AF173" s="98"/>
      <c r="AG173" s="98"/>
      <c r="AH173" s="98"/>
      <c r="AI173" s="98"/>
      <c r="AJ173" s="98"/>
      <c r="AK173" s="98"/>
      <c r="AL173" s="98"/>
      <c r="AM173" s="4"/>
      <c r="AN173" s="4"/>
      <c r="AO173" s="4"/>
      <c r="AP173" s="98"/>
      <c r="AQ173" s="4"/>
      <c r="AR173" s="4"/>
      <c r="AS173" s="4"/>
      <c r="AT173" s="98"/>
      <c r="AU173" s="98"/>
      <c r="AV173" s="98"/>
      <c r="AW173" s="98"/>
      <c r="AX173" s="98"/>
      <c r="AY173" s="98"/>
      <c r="AZ173" s="98"/>
      <c r="BA173" s="98"/>
      <c r="BB173" s="98"/>
      <c r="BC173" s="98"/>
      <c r="BD173" s="98"/>
      <c r="BE173" s="98"/>
      <c r="BF173" s="98"/>
      <c r="BG173" s="98"/>
      <c r="BH173" s="98"/>
      <c r="BI173" s="98"/>
      <c r="BJ173" s="98"/>
      <c r="BK173" s="98"/>
      <c r="BL173" s="98"/>
      <c r="BM173" s="98"/>
      <c r="BN173" s="98"/>
      <c r="BO173" s="98"/>
      <c r="BP173" s="98"/>
      <c r="BQ173" s="98"/>
      <c r="BR173" s="98"/>
      <c r="BS173" s="98"/>
      <c r="BT173" s="98"/>
      <c r="BU173" s="98"/>
      <c r="BV173" s="98"/>
      <c r="BW173" s="98"/>
      <c r="BX173" s="98"/>
      <c r="BY173" s="98"/>
      <c r="BZ173" s="98"/>
      <c r="CA173" s="98"/>
      <c r="CB173" s="98"/>
      <c r="CC173" s="98"/>
    </row>
    <row r="174" ht="15.75" customHeight="1">
      <c r="A174" s="98"/>
      <c r="B174" s="98"/>
      <c r="C174" s="98"/>
      <c r="D174" s="98"/>
      <c r="E174" s="98"/>
      <c r="F174" s="98"/>
      <c r="G174" s="98"/>
      <c r="H174" s="98"/>
      <c r="I174" s="99"/>
      <c r="J174" s="99"/>
      <c r="K174" s="99"/>
      <c r="L174" s="99"/>
      <c r="M174" s="99"/>
      <c r="N174" s="99"/>
      <c r="O174" s="99"/>
      <c r="P174" s="99"/>
      <c r="Q174" s="99"/>
      <c r="R174" s="99"/>
      <c r="S174" s="99"/>
      <c r="T174" s="99"/>
      <c r="U174" s="99"/>
      <c r="V174" s="99"/>
      <c r="W174" s="99"/>
      <c r="X174" s="99"/>
      <c r="Y174" s="98"/>
      <c r="Z174" s="98"/>
      <c r="AA174" s="98"/>
      <c r="AB174" s="98"/>
      <c r="AC174" s="98"/>
      <c r="AD174" s="98"/>
      <c r="AE174" s="98"/>
      <c r="AF174" s="98"/>
      <c r="AG174" s="98"/>
      <c r="AH174" s="98"/>
      <c r="AI174" s="98"/>
      <c r="AJ174" s="98"/>
      <c r="AK174" s="98"/>
      <c r="AL174" s="98"/>
      <c r="AM174" s="4"/>
      <c r="AN174" s="4"/>
      <c r="AO174" s="4"/>
      <c r="AP174" s="98"/>
      <c r="AQ174" s="4"/>
      <c r="AR174" s="4"/>
      <c r="AS174" s="4"/>
      <c r="AT174" s="98"/>
      <c r="AU174" s="98"/>
      <c r="AV174" s="98"/>
      <c r="AW174" s="98"/>
      <c r="AX174" s="98"/>
      <c r="AY174" s="98"/>
      <c r="AZ174" s="98"/>
      <c r="BA174" s="98"/>
      <c r="BB174" s="98"/>
      <c r="BC174" s="98"/>
      <c r="BD174" s="98"/>
      <c r="BE174" s="98"/>
      <c r="BF174" s="98"/>
      <c r="BG174" s="98"/>
      <c r="BH174" s="98"/>
      <c r="BI174" s="98"/>
      <c r="BJ174" s="98"/>
      <c r="BK174" s="98"/>
      <c r="BL174" s="98"/>
      <c r="BM174" s="98"/>
      <c r="BN174" s="98"/>
      <c r="BO174" s="98"/>
      <c r="BP174" s="98"/>
      <c r="BQ174" s="98"/>
      <c r="BR174" s="98"/>
      <c r="BS174" s="98"/>
      <c r="BT174" s="98"/>
      <c r="BU174" s="98"/>
      <c r="BV174" s="98"/>
      <c r="BW174" s="98"/>
      <c r="BX174" s="98"/>
      <c r="BY174" s="98"/>
      <c r="BZ174" s="98"/>
      <c r="CA174" s="98"/>
      <c r="CB174" s="98"/>
      <c r="CC174" s="98"/>
    </row>
    <row r="175" ht="15.75" customHeight="1">
      <c r="A175" s="98"/>
      <c r="B175" s="98"/>
      <c r="C175" s="98"/>
      <c r="D175" s="98"/>
      <c r="E175" s="98"/>
      <c r="F175" s="98"/>
      <c r="G175" s="98"/>
      <c r="H175" s="98"/>
      <c r="I175" s="99"/>
      <c r="J175" s="99"/>
      <c r="K175" s="99"/>
      <c r="L175" s="99"/>
      <c r="M175" s="99"/>
      <c r="N175" s="99"/>
      <c r="O175" s="99"/>
      <c r="P175" s="99"/>
      <c r="Q175" s="99"/>
      <c r="R175" s="99"/>
      <c r="S175" s="99"/>
      <c r="T175" s="99"/>
      <c r="U175" s="99"/>
      <c r="V175" s="99"/>
      <c r="W175" s="99"/>
      <c r="X175" s="99"/>
      <c r="Y175" s="98"/>
      <c r="Z175" s="98"/>
      <c r="AA175" s="98"/>
      <c r="AB175" s="98"/>
      <c r="AC175" s="98"/>
      <c r="AD175" s="98"/>
      <c r="AE175" s="98"/>
      <c r="AF175" s="98"/>
      <c r="AG175" s="98"/>
      <c r="AH175" s="98"/>
      <c r="AI175" s="98"/>
      <c r="AJ175" s="98"/>
      <c r="AK175" s="98"/>
      <c r="AL175" s="98"/>
      <c r="AM175" s="4"/>
      <c r="AN175" s="4"/>
      <c r="AO175" s="4"/>
      <c r="AP175" s="98"/>
      <c r="AQ175" s="4"/>
      <c r="AR175" s="4"/>
      <c r="AS175" s="4"/>
      <c r="AT175" s="98"/>
      <c r="AU175" s="98"/>
      <c r="AV175" s="98"/>
      <c r="AW175" s="98"/>
      <c r="AX175" s="98"/>
      <c r="AY175" s="98"/>
      <c r="AZ175" s="98"/>
      <c r="BA175" s="98"/>
      <c r="BB175" s="98"/>
      <c r="BC175" s="98"/>
      <c r="BD175" s="98"/>
      <c r="BE175" s="98"/>
      <c r="BF175" s="98"/>
      <c r="BG175" s="98"/>
      <c r="BH175" s="98"/>
      <c r="BI175" s="98"/>
      <c r="BJ175" s="98"/>
      <c r="BK175" s="98"/>
      <c r="BL175" s="98"/>
      <c r="BM175" s="98"/>
      <c r="BN175" s="98"/>
      <c r="BO175" s="98"/>
      <c r="BP175" s="98"/>
      <c r="BQ175" s="98"/>
      <c r="BR175" s="98"/>
      <c r="BS175" s="98"/>
      <c r="BT175" s="98"/>
      <c r="BU175" s="98"/>
      <c r="BV175" s="98"/>
      <c r="BW175" s="98"/>
      <c r="BX175" s="98"/>
      <c r="BY175" s="98"/>
      <c r="BZ175" s="98"/>
      <c r="CA175" s="98"/>
      <c r="CB175" s="98"/>
      <c r="CC175" s="98"/>
    </row>
    <row r="176" ht="15.75" customHeight="1">
      <c r="A176" s="98"/>
      <c r="B176" s="98"/>
      <c r="C176" s="98"/>
      <c r="D176" s="98"/>
      <c r="E176" s="98"/>
      <c r="F176" s="98"/>
      <c r="G176" s="98"/>
      <c r="H176" s="98"/>
      <c r="I176" s="99"/>
      <c r="J176" s="99"/>
      <c r="K176" s="99"/>
      <c r="L176" s="99"/>
      <c r="M176" s="99"/>
      <c r="N176" s="99"/>
      <c r="O176" s="99"/>
      <c r="P176" s="99"/>
      <c r="Q176" s="99"/>
      <c r="R176" s="99"/>
      <c r="S176" s="99"/>
      <c r="T176" s="99"/>
      <c r="U176" s="99"/>
      <c r="V176" s="99"/>
      <c r="W176" s="99"/>
      <c r="X176" s="99"/>
      <c r="Y176" s="98"/>
      <c r="Z176" s="98"/>
      <c r="AA176" s="98"/>
      <c r="AB176" s="98"/>
      <c r="AC176" s="98"/>
      <c r="AD176" s="98"/>
      <c r="AE176" s="98"/>
      <c r="AF176" s="98"/>
      <c r="AG176" s="98"/>
      <c r="AH176" s="98"/>
      <c r="AI176" s="98"/>
      <c r="AJ176" s="98"/>
      <c r="AK176" s="98"/>
      <c r="AL176" s="98"/>
      <c r="AM176" s="4"/>
      <c r="AN176" s="4"/>
      <c r="AO176" s="4"/>
      <c r="AP176" s="98"/>
      <c r="AQ176" s="4"/>
      <c r="AR176" s="4"/>
      <c r="AS176" s="4"/>
      <c r="AT176" s="98"/>
      <c r="AU176" s="98"/>
      <c r="AV176" s="98"/>
      <c r="AW176" s="98"/>
      <c r="AX176" s="98"/>
      <c r="AY176" s="98"/>
      <c r="AZ176" s="98"/>
      <c r="BA176" s="98"/>
      <c r="BB176" s="98"/>
      <c r="BC176" s="98"/>
      <c r="BD176" s="98"/>
      <c r="BE176" s="98"/>
      <c r="BF176" s="98"/>
      <c r="BG176" s="98"/>
      <c r="BH176" s="98"/>
      <c r="BI176" s="98"/>
      <c r="BJ176" s="98"/>
      <c r="BK176" s="98"/>
      <c r="BL176" s="98"/>
      <c r="BM176" s="98"/>
      <c r="BN176" s="98"/>
      <c r="BO176" s="98"/>
      <c r="BP176" s="98"/>
      <c r="BQ176" s="98"/>
      <c r="BR176" s="98"/>
      <c r="BS176" s="98"/>
      <c r="BT176" s="98"/>
      <c r="BU176" s="98"/>
      <c r="BV176" s="98"/>
      <c r="BW176" s="98"/>
      <c r="BX176" s="98"/>
      <c r="BY176" s="98"/>
      <c r="BZ176" s="98"/>
      <c r="CA176" s="98"/>
      <c r="CB176" s="98"/>
      <c r="CC176" s="98"/>
    </row>
    <row r="177" ht="15.75" customHeight="1">
      <c r="A177" s="98"/>
      <c r="B177" s="98"/>
      <c r="C177" s="98"/>
      <c r="D177" s="98"/>
      <c r="E177" s="98"/>
      <c r="F177" s="98"/>
      <c r="G177" s="98"/>
      <c r="H177" s="98"/>
      <c r="I177" s="99"/>
      <c r="J177" s="99"/>
      <c r="K177" s="99"/>
      <c r="L177" s="99"/>
      <c r="M177" s="99"/>
      <c r="N177" s="99"/>
      <c r="O177" s="99"/>
      <c r="P177" s="99"/>
      <c r="Q177" s="99"/>
      <c r="R177" s="99"/>
      <c r="S177" s="99"/>
      <c r="T177" s="99"/>
      <c r="U177" s="99"/>
      <c r="V177" s="99"/>
      <c r="W177" s="99"/>
      <c r="X177" s="99"/>
      <c r="Y177" s="98"/>
      <c r="Z177" s="98"/>
      <c r="AA177" s="98"/>
      <c r="AB177" s="98"/>
      <c r="AC177" s="98"/>
      <c r="AD177" s="98"/>
      <c r="AE177" s="98"/>
      <c r="AF177" s="98"/>
      <c r="AG177" s="98"/>
      <c r="AH177" s="98"/>
      <c r="AI177" s="98"/>
      <c r="AJ177" s="98"/>
      <c r="AK177" s="98"/>
      <c r="AL177" s="98"/>
      <c r="AM177" s="4"/>
      <c r="AN177" s="4"/>
      <c r="AO177" s="4"/>
      <c r="AP177" s="98"/>
      <c r="AQ177" s="4"/>
      <c r="AR177" s="4"/>
      <c r="AS177" s="4"/>
      <c r="AT177" s="98"/>
      <c r="AU177" s="98"/>
      <c r="AV177" s="98"/>
      <c r="AW177" s="98"/>
      <c r="AX177" s="98"/>
      <c r="AY177" s="98"/>
      <c r="AZ177" s="98"/>
      <c r="BA177" s="98"/>
      <c r="BB177" s="98"/>
      <c r="BC177" s="98"/>
      <c r="BD177" s="98"/>
      <c r="BE177" s="98"/>
      <c r="BF177" s="98"/>
      <c r="BG177" s="98"/>
      <c r="BH177" s="98"/>
      <c r="BI177" s="98"/>
      <c r="BJ177" s="98"/>
      <c r="BK177" s="98"/>
      <c r="BL177" s="98"/>
      <c r="BM177" s="98"/>
      <c r="BN177" s="98"/>
      <c r="BO177" s="98"/>
      <c r="BP177" s="98"/>
      <c r="BQ177" s="98"/>
      <c r="BR177" s="98"/>
      <c r="BS177" s="98"/>
      <c r="BT177" s="98"/>
      <c r="BU177" s="98"/>
      <c r="BV177" s="98"/>
      <c r="BW177" s="98"/>
      <c r="BX177" s="98"/>
      <c r="BY177" s="98"/>
      <c r="BZ177" s="98"/>
      <c r="CA177" s="98"/>
      <c r="CB177" s="98"/>
      <c r="CC177" s="98"/>
    </row>
    <row r="178" ht="15.75" customHeight="1">
      <c r="A178" s="98"/>
      <c r="B178" s="98"/>
      <c r="C178" s="98"/>
      <c r="D178" s="98"/>
      <c r="E178" s="98"/>
      <c r="F178" s="98"/>
      <c r="G178" s="98"/>
      <c r="H178" s="98"/>
      <c r="I178" s="99"/>
      <c r="J178" s="99"/>
      <c r="K178" s="99"/>
      <c r="L178" s="99"/>
      <c r="M178" s="99"/>
      <c r="N178" s="99"/>
      <c r="O178" s="99"/>
      <c r="P178" s="99"/>
      <c r="Q178" s="99"/>
      <c r="R178" s="99"/>
      <c r="S178" s="99"/>
      <c r="T178" s="99"/>
      <c r="U178" s="99"/>
      <c r="V178" s="99"/>
      <c r="W178" s="99"/>
      <c r="X178" s="99"/>
      <c r="Y178" s="98"/>
      <c r="Z178" s="98"/>
      <c r="AA178" s="98"/>
      <c r="AB178" s="98"/>
      <c r="AC178" s="98"/>
      <c r="AD178" s="98"/>
      <c r="AE178" s="98"/>
      <c r="AF178" s="98"/>
      <c r="AG178" s="98"/>
      <c r="AH178" s="98"/>
      <c r="AI178" s="98"/>
      <c r="AJ178" s="98"/>
      <c r="AK178" s="98"/>
      <c r="AL178" s="98"/>
      <c r="AM178" s="4"/>
      <c r="AN178" s="4"/>
      <c r="AO178" s="4"/>
      <c r="AP178" s="98"/>
      <c r="AQ178" s="4"/>
      <c r="AR178" s="4"/>
      <c r="AS178" s="4"/>
      <c r="AT178" s="98"/>
      <c r="AU178" s="98"/>
      <c r="AV178" s="98"/>
      <c r="AW178" s="98"/>
      <c r="AX178" s="98"/>
      <c r="AY178" s="98"/>
      <c r="AZ178" s="98"/>
      <c r="BA178" s="98"/>
      <c r="BB178" s="98"/>
      <c r="BC178" s="98"/>
      <c r="BD178" s="98"/>
      <c r="BE178" s="98"/>
      <c r="BF178" s="98"/>
      <c r="BG178" s="98"/>
      <c r="BH178" s="98"/>
      <c r="BI178" s="98"/>
      <c r="BJ178" s="98"/>
      <c r="BK178" s="98"/>
      <c r="BL178" s="98"/>
      <c r="BM178" s="98"/>
      <c r="BN178" s="98"/>
      <c r="BO178" s="98"/>
      <c r="BP178" s="98"/>
      <c r="BQ178" s="98"/>
      <c r="BR178" s="98"/>
      <c r="BS178" s="98"/>
      <c r="BT178" s="98"/>
      <c r="BU178" s="98"/>
      <c r="BV178" s="98"/>
      <c r="BW178" s="98"/>
      <c r="BX178" s="98"/>
      <c r="BY178" s="98"/>
      <c r="BZ178" s="98"/>
      <c r="CA178" s="98"/>
      <c r="CB178" s="98"/>
      <c r="CC178" s="98"/>
    </row>
    <row r="179" ht="15.75" customHeight="1">
      <c r="A179" s="98"/>
      <c r="B179" s="98"/>
      <c r="C179" s="98"/>
      <c r="D179" s="98"/>
      <c r="E179" s="98"/>
      <c r="F179" s="98"/>
      <c r="G179" s="98"/>
      <c r="H179" s="98"/>
      <c r="I179" s="99"/>
      <c r="J179" s="99"/>
      <c r="K179" s="99"/>
      <c r="L179" s="99"/>
      <c r="M179" s="99"/>
      <c r="N179" s="99"/>
      <c r="O179" s="99"/>
      <c r="P179" s="99"/>
      <c r="Q179" s="99"/>
      <c r="R179" s="99"/>
      <c r="S179" s="99"/>
      <c r="T179" s="99"/>
      <c r="U179" s="99"/>
      <c r="V179" s="99"/>
      <c r="W179" s="99"/>
      <c r="X179" s="99"/>
      <c r="Y179" s="98"/>
      <c r="Z179" s="98"/>
      <c r="AA179" s="98"/>
      <c r="AB179" s="98"/>
      <c r="AC179" s="98"/>
      <c r="AD179" s="98"/>
      <c r="AE179" s="98"/>
      <c r="AF179" s="98"/>
      <c r="AG179" s="98"/>
      <c r="AH179" s="98"/>
      <c r="AI179" s="98"/>
      <c r="AJ179" s="98"/>
      <c r="AK179" s="98"/>
      <c r="AL179" s="98"/>
      <c r="AM179" s="4"/>
      <c r="AN179" s="4"/>
      <c r="AO179" s="4"/>
      <c r="AP179" s="98"/>
      <c r="AQ179" s="4"/>
      <c r="AR179" s="4"/>
      <c r="AS179" s="4"/>
      <c r="AT179" s="98"/>
      <c r="AU179" s="98"/>
      <c r="AV179" s="98"/>
      <c r="AW179" s="98"/>
      <c r="AX179" s="98"/>
      <c r="AY179" s="98"/>
      <c r="AZ179" s="98"/>
      <c r="BA179" s="98"/>
      <c r="BB179" s="98"/>
      <c r="BC179" s="98"/>
      <c r="BD179" s="98"/>
      <c r="BE179" s="98"/>
      <c r="BF179" s="98"/>
      <c r="BG179" s="98"/>
      <c r="BH179" s="98"/>
      <c r="BI179" s="98"/>
      <c r="BJ179" s="98"/>
      <c r="BK179" s="98"/>
      <c r="BL179" s="98"/>
      <c r="BM179" s="98"/>
      <c r="BN179" s="98"/>
      <c r="BO179" s="98"/>
      <c r="BP179" s="98"/>
      <c r="BQ179" s="98"/>
      <c r="BR179" s="98"/>
      <c r="BS179" s="98"/>
      <c r="BT179" s="98"/>
      <c r="BU179" s="98"/>
      <c r="BV179" s="98"/>
      <c r="BW179" s="98"/>
      <c r="BX179" s="98"/>
      <c r="BY179" s="98"/>
      <c r="BZ179" s="98"/>
      <c r="CA179" s="98"/>
      <c r="CB179" s="98"/>
      <c r="CC179" s="98"/>
    </row>
    <row r="180" ht="15.75" customHeight="1">
      <c r="A180" s="98"/>
      <c r="B180" s="98"/>
      <c r="C180" s="98"/>
      <c r="D180" s="98"/>
      <c r="E180" s="98"/>
      <c r="F180" s="98"/>
      <c r="G180" s="98"/>
      <c r="H180" s="98"/>
      <c r="I180" s="99"/>
      <c r="J180" s="99"/>
      <c r="K180" s="99"/>
      <c r="L180" s="99"/>
      <c r="M180" s="99"/>
      <c r="N180" s="99"/>
      <c r="O180" s="99"/>
      <c r="P180" s="99"/>
      <c r="Q180" s="99"/>
      <c r="R180" s="99"/>
      <c r="S180" s="99"/>
      <c r="T180" s="99"/>
      <c r="U180" s="99"/>
      <c r="V180" s="99"/>
      <c r="W180" s="99"/>
      <c r="X180" s="99"/>
      <c r="Y180" s="98"/>
      <c r="Z180" s="98"/>
      <c r="AA180" s="98"/>
      <c r="AB180" s="98"/>
      <c r="AC180" s="98"/>
      <c r="AD180" s="98"/>
      <c r="AE180" s="98"/>
      <c r="AF180" s="98"/>
      <c r="AG180" s="98"/>
      <c r="AH180" s="98"/>
      <c r="AI180" s="98"/>
      <c r="AJ180" s="98"/>
      <c r="AK180" s="98"/>
      <c r="AL180" s="98"/>
      <c r="AM180" s="4"/>
      <c r="AN180" s="4"/>
      <c r="AO180" s="4"/>
      <c r="AP180" s="98"/>
      <c r="AQ180" s="4"/>
      <c r="AR180" s="4"/>
      <c r="AS180" s="4"/>
      <c r="AT180" s="98"/>
      <c r="AU180" s="98"/>
      <c r="AV180" s="98"/>
      <c r="AW180" s="98"/>
      <c r="AX180" s="98"/>
      <c r="AY180" s="98"/>
      <c r="AZ180" s="98"/>
      <c r="BA180" s="98"/>
      <c r="BB180" s="98"/>
      <c r="BC180" s="98"/>
      <c r="BD180" s="98"/>
      <c r="BE180" s="98"/>
      <c r="BF180" s="98"/>
      <c r="BG180" s="98"/>
      <c r="BH180" s="98"/>
      <c r="BI180" s="98"/>
      <c r="BJ180" s="98"/>
      <c r="BK180" s="98"/>
      <c r="BL180" s="98"/>
      <c r="BM180" s="98"/>
      <c r="BN180" s="98"/>
      <c r="BO180" s="98"/>
      <c r="BP180" s="98"/>
      <c r="BQ180" s="98"/>
      <c r="BR180" s="98"/>
      <c r="BS180" s="98"/>
      <c r="BT180" s="98"/>
      <c r="BU180" s="98"/>
      <c r="BV180" s="98"/>
      <c r="BW180" s="98"/>
      <c r="BX180" s="98"/>
      <c r="BY180" s="98"/>
      <c r="BZ180" s="98"/>
      <c r="CA180" s="98"/>
      <c r="CB180" s="98"/>
      <c r="CC180" s="98"/>
    </row>
    <row r="181" ht="15.75" customHeight="1">
      <c r="A181" s="98"/>
      <c r="B181" s="98"/>
      <c r="C181" s="98"/>
      <c r="D181" s="98"/>
      <c r="E181" s="98"/>
      <c r="F181" s="98"/>
      <c r="G181" s="98"/>
      <c r="H181" s="98"/>
      <c r="I181" s="99"/>
      <c r="J181" s="99"/>
      <c r="K181" s="99"/>
      <c r="L181" s="99"/>
      <c r="M181" s="99"/>
      <c r="N181" s="99"/>
      <c r="O181" s="99"/>
      <c r="P181" s="99"/>
      <c r="Q181" s="99"/>
      <c r="R181" s="99"/>
      <c r="S181" s="99"/>
      <c r="T181" s="99"/>
      <c r="U181" s="99"/>
      <c r="V181" s="99"/>
      <c r="W181" s="99"/>
      <c r="X181" s="99"/>
      <c r="Y181" s="98"/>
      <c r="Z181" s="98"/>
      <c r="AA181" s="98"/>
      <c r="AB181" s="98"/>
      <c r="AC181" s="98"/>
      <c r="AD181" s="98"/>
      <c r="AE181" s="98"/>
      <c r="AF181" s="98"/>
      <c r="AG181" s="98"/>
      <c r="AH181" s="98"/>
      <c r="AI181" s="98"/>
      <c r="AJ181" s="98"/>
      <c r="AK181" s="98"/>
      <c r="AL181" s="98"/>
      <c r="AM181" s="4"/>
      <c r="AN181" s="4"/>
      <c r="AO181" s="4"/>
      <c r="AP181" s="98"/>
      <c r="AQ181" s="4"/>
      <c r="AR181" s="4"/>
      <c r="AS181" s="4"/>
      <c r="AT181" s="98"/>
      <c r="AU181" s="98"/>
      <c r="AV181" s="98"/>
      <c r="AW181" s="98"/>
      <c r="AX181" s="98"/>
      <c r="AY181" s="98"/>
      <c r="AZ181" s="98"/>
      <c r="BA181" s="98"/>
      <c r="BB181" s="98"/>
      <c r="BC181" s="98"/>
      <c r="BD181" s="98"/>
      <c r="BE181" s="98"/>
      <c r="BF181" s="98"/>
      <c r="BG181" s="98"/>
      <c r="BH181" s="98"/>
      <c r="BI181" s="98"/>
      <c r="BJ181" s="98"/>
      <c r="BK181" s="98"/>
      <c r="BL181" s="98"/>
      <c r="BM181" s="98"/>
      <c r="BN181" s="98"/>
      <c r="BO181" s="98"/>
      <c r="BP181" s="98"/>
      <c r="BQ181" s="98"/>
      <c r="BR181" s="98"/>
      <c r="BS181" s="98"/>
      <c r="BT181" s="98"/>
      <c r="BU181" s="98"/>
      <c r="BV181" s="98"/>
      <c r="BW181" s="98"/>
      <c r="BX181" s="98"/>
      <c r="BY181" s="98"/>
      <c r="BZ181" s="98"/>
      <c r="CA181" s="98"/>
      <c r="CB181" s="98"/>
      <c r="CC181" s="98"/>
    </row>
    <row r="182" ht="15.75" customHeight="1">
      <c r="A182" s="98"/>
      <c r="B182" s="98"/>
      <c r="C182" s="98"/>
      <c r="D182" s="98"/>
      <c r="E182" s="98"/>
      <c r="F182" s="98"/>
      <c r="G182" s="98"/>
      <c r="H182" s="98"/>
      <c r="I182" s="99"/>
      <c r="J182" s="99"/>
      <c r="K182" s="99"/>
      <c r="L182" s="99"/>
      <c r="M182" s="99"/>
      <c r="N182" s="99"/>
      <c r="O182" s="99"/>
      <c r="P182" s="99"/>
      <c r="Q182" s="99"/>
      <c r="R182" s="99"/>
      <c r="S182" s="99"/>
      <c r="T182" s="99"/>
      <c r="U182" s="99"/>
      <c r="V182" s="99"/>
      <c r="W182" s="99"/>
      <c r="X182" s="99"/>
      <c r="Y182" s="98"/>
      <c r="Z182" s="98"/>
      <c r="AA182" s="98"/>
      <c r="AB182" s="98"/>
      <c r="AC182" s="98"/>
      <c r="AD182" s="98"/>
      <c r="AE182" s="98"/>
      <c r="AF182" s="98"/>
      <c r="AG182" s="98"/>
      <c r="AH182" s="98"/>
      <c r="AI182" s="98"/>
      <c r="AJ182" s="98"/>
      <c r="AK182" s="98"/>
      <c r="AL182" s="98"/>
      <c r="AM182" s="4"/>
      <c r="AN182" s="4"/>
      <c r="AO182" s="4"/>
      <c r="AP182" s="98"/>
      <c r="AQ182" s="4"/>
      <c r="AR182" s="4"/>
      <c r="AS182" s="4"/>
      <c r="AT182" s="98"/>
      <c r="AU182" s="98"/>
      <c r="AV182" s="98"/>
      <c r="AW182" s="98"/>
      <c r="AX182" s="98"/>
      <c r="AY182" s="98"/>
      <c r="AZ182" s="98"/>
      <c r="BA182" s="98"/>
      <c r="BB182" s="98"/>
      <c r="BC182" s="98"/>
      <c r="BD182" s="98"/>
      <c r="BE182" s="98"/>
      <c r="BF182" s="98"/>
      <c r="BG182" s="98"/>
      <c r="BH182" s="98"/>
      <c r="BI182" s="98"/>
      <c r="BJ182" s="98"/>
      <c r="BK182" s="98"/>
      <c r="BL182" s="98"/>
      <c r="BM182" s="98"/>
      <c r="BN182" s="98"/>
      <c r="BO182" s="98"/>
      <c r="BP182" s="98"/>
      <c r="BQ182" s="98"/>
      <c r="BR182" s="98"/>
      <c r="BS182" s="98"/>
      <c r="BT182" s="98"/>
      <c r="BU182" s="98"/>
      <c r="BV182" s="98"/>
      <c r="BW182" s="98"/>
      <c r="BX182" s="98"/>
      <c r="BY182" s="98"/>
      <c r="BZ182" s="98"/>
      <c r="CA182" s="98"/>
      <c r="CB182" s="98"/>
      <c r="CC182" s="98"/>
    </row>
    <row r="183" ht="15.75" customHeight="1">
      <c r="A183" s="98"/>
      <c r="B183" s="98"/>
      <c r="C183" s="98"/>
      <c r="D183" s="98"/>
      <c r="E183" s="98"/>
      <c r="F183" s="98"/>
      <c r="G183" s="98"/>
      <c r="H183" s="98"/>
      <c r="I183" s="99"/>
      <c r="J183" s="99"/>
      <c r="K183" s="99"/>
      <c r="L183" s="99"/>
      <c r="M183" s="99"/>
      <c r="N183" s="99"/>
      <c r="O183" s="99"/>
      <c r="P183" s="99"/>
      <c r="Q183" s="99"/>
      <c r="R183" s="99"/>
      <c r="S183" s="99"/>
      <c r="T183" s="99"/>
      <c r="U183" s="99"/>
      <c r="V183" s="99"/>
      <c r="W183" s="99"/>
      <c r="X183" s="99"/>
      <c r="Y183" s="98"/>
      <c r="Z183" s="98"/>
      <c r="AA183" s="98"/>
      <c r="AB183" s="98"/>
      <c r="AC183" s="98"/>
      <c r="AD183" s="98"/>
      <c r="AE183" s="98"/>
      <c r="AF183" s="98"/>
      <c r="AG183" s="98"/>
      <c r="AH183" s="98"/>
      <c r="AI183" s="98"/>
      <c r="AJ183" s="98"/>
      <c r="AK183" s="98"/>
      <c r="AL183" s="98"/>
      <c r="AM183" s="4"/>
      <c r="AN183" s="4"/>
      <c r="AO183" s="4"/>
      <c r="AP183" s="98"/>
      <c r="AQ183" s="4"/>
      <c r="AR183" s="4"/>
      <c r="AS183" s="4"/>
      <c r="AT183" s="98"/>
      <c r="AU183" s="98"/>
      <c r="AV183" s="98"/>
      <c r="AW183" s="98"/>
      <c r="AX183" s="98"/>
      <c r="AY183" s="98"/>
      <c r="AZ183" s="98"/>
      <c r="BA183" s="98"/>
      <c r="BB183" s="98"/>
      <c r="BC183" s="98"/>
      <c r="BD183" s="98"/>
      <c r="BE183" s="98"/>
      <c r="BF183" s="98"/>
      <c r="BG183" s="98"/>
      <c r="BH183" s="98"/>
      <c r="BI183" s="98"/>
      <c r="BJ183" s="98"/>
      <c r="BK183" s="98"/>
      <c r="BL183" s="98"/>
      <c r="BM183" s="98"/>
      <c r="BN183" s="98"/>
      <c r="BO183" s="98"/>
      <c r="BP183" s="98"/>
      <c r="BQ183" s="98"/>
      <c r="BR183" s="98"/>
      <c r="BS183" s="98"/>
      <c r="BT183" s="98"/>
      <c r="BU183" s="98"/>
      <c r="BV183" s="98"/>
      <c r="BW183" s="98"/>
      <c r="BX183" s="98"/>
      <c r="BY183" s="98"/>
      <c r="BZ183" s="98"/>
      <c r="CA183" s="98"/>
      <c r="CB183" s="98"/>
      <c r="CC183" s="98"/>
    </row>
    <row r="184" ht="15.75" customHeight="1">
      <c r="A184" s="98"/>
      <c r="B184" s="98"/>
      <c r="C184" s="98"/>
      <c r="D184" s="98"/>
      <c r="E184" s="98"/>
      <c r="F184" s="98"/>
      <c r="G184" s="98"/>
      <c r="H184" s="98"/>
      <c r="I184" s="99"/>
      <c r="J184" s="99"/>
      <c r="K184" s="99"/>
      <c r="L184" s="99"/>
      <c r="M184" s="99"/>
      <c r="N184" s="99"/>
      <c r="O184" s="99"/>
      <c r="P184" s="99"/>
      <c r="Q184" s="99"/>
      <c r="R184" s="99"/>
      <c r="S184" s="99"/>
      <c r="T184" s="99"/>
      <c r="U184" s="99"/>
      <c r="V184" s="99"/>
      <c r="W184" s="99"/>
      <c r="X184" s="99"/>
      <c r="Y184" s="98"/>
      <c r="Z184" s="98"/>
      <c r="AA184" s="98"/>
      <c r="AB184" s="98"/>
      <c r="AC184" s="98"/>
      <c r="AD184" s="98"/>
      <c r="AE184" s="98"/>
      <c r="AF184" s="98"/>
      <c r="AG184" s="98"/>
      <c r="AH184" s="98"/>
      <c r="AI184" s="98"/>
      <c r="AJ184" s="98"/>
      <c r="AK184" s="98"/>
      <c r="AL184" s="98"/>
      <c r="AM184" s="4"/>
      <c r="AN184" s="4"/>
      <c r="AO184" s="4"/>
      <c r="AP184" s="98"/>
      <c r="AQ184" s="4"/>
      <c r="AR184" s="4"/>
      <c r="AS184" s="4"/>
      <c r="AT184" s="98"/>
      <c r="AU184" s="98"/>
      <c r="AV184" s="98"/>
      <c r="AW184" s="98"/>
      <c r="AX184" s="98"/>
      <c r="AY184" s="98"/>
      <c r="AZ184" s="98"/>
      <c r="BA184" s="98"/>
      <c r="BB184" s="98"/>
      <c r="BC184" s="98"/>
      <c r="BD184" s="98"/>
      <c r="BE184" s="98"/>
      <c r="BF184" s="98"/>
      <c r="BG184" s="98"/>
      <c r="BH184" s="98"/>
      <c r="BI184" s="98"/>
      <c r="BJ184" s="98"/>
      <c r="BK184" s="98"/>
      <c r="BL184" s="98"/>
      <c r="BM184" s="98"/>
      <c r="BN184" s="98"/>
      <c r="BO184" s="98"/>
      <c r="BP184" s="98"/>
      <c r="BQ184" s="98"/>
      <c r="BR184" s="98"/>
      <c r="BS184" s="98"/>
      <c r="BT184" s="98"/>
      <c r="BU184" s="98"/>
      <c r="BV184" s="98"/>
      <c r="BW184" s="98"/>
      <c r="BX184" s="98"/>
      <c r="BY184" s="98"/>
      <c r="BZ184" s="98"/>
      <c r="CA184" s="98"/>
      <c r="CB184" s="98"/>
      <c r="CC184" s="98"/>
    </row>
    <row r="185" ht="15.75" customHeight="1">
      <c r="A185" s="98"/>
      <c r="B185" s="98"/>
      <c r="C185" s="98"/>
      <c r="D185" s="98"/>
      <c r="E185" s="98"/>
      <c r="F185" s="98"/>
      <c r="G185" s="98"/>
      <c r="H185" s="98"/>
      <c r="I185" s="99"/>
      <c r="J185" s="99"/>
      <c r="K185" s="99"/>
      <c r="L185" s="99"/>
      <c r="M185" s="99"/>
      <c r="N185" s="99"/>
      <c r="O185" s="99"/>
      <c r="P185" s="99"/>
      <c r="Q185" s="99"/>
      <c r="R185" s="99"/>
      <c r="S185" s="99"/>
      <c r="T185" s="99"/>
      <c r="U185" s="99"/>
      <c r="V185" s="99"/>
      <c r="W185" s="99"/>
      <c r="X185" s="99"/>
      <c r="Y185" s="98"/>
      <c r="Z185" s="98"/>
      <c r="AA185" s="98"/>
      <c r="AB185" s="98"/>
      <c r="AC185" s="98"/>
      <c r="AD185" s="98"/>
      <c r="AE185" s="98"/>
      <c r="AF185" s="98"/>
      <c r="AG185" s="98"/>
      <c r="AH185" s="98"/>
      <c r="AI185" s="98"/>
      <c r="AJ185" s="98"/>
      <c r="AK185" s="98"/>
      <c r="AL185" s="98"/>
      <c r="AM185" s="4"/>
      <c r="AN185" s="4"/>
      <c r="AO185" s="4"/>
      <c r="AP185" s="98"/>
      <c r="AQ185" s="4"/>
      <c r="AR185" s="4"/>
      <c r="AS185" s="4"/>
      <c r="AT185" s="98"/>
      <c r="AU185" s="98"/>
      <c r="AV185" s="98"/>
      <c r="AW185" s="98"/>
      <c r="AX185" s="98"/>
      <c r="AY185" s="98"/>
      <c r="AZ185" s="98"/>
      <c r="BA185" s="98"/>
      <c r="BB185" s="98"/>
      <c r="BC185" s="98"/>
      <c r="BD185" s="98"/>
      <c r="BE185" s="98"/>
      <c r="BF185" s="98"/>
      <c r="BG185" s="98"/>
      <c r="BH185" s="98"/>
      <c r="BI185" s="98"/>
      <c r="BJ185" s="98"/>
      <c r="BK185" s="98"/>
      <c r="BL185" s="98"/>
      <c r="BM185" s="98"/>
      <c r="BN185" s="98"/>
      <c r="BO185" s="98"/>
      <c r="BP185" s="98"/>
      <c r="BQ185" s="98"/>
      <c r="BR185" s="98"/>
      <c r="BS185" s="98"/>
      <c r="BT185" s="98"/>
      <c r="BU185" s="98"/>
      <c r="BV185" s="98"/>
      <c r="BW185" s="98"/>
      <c r="BX185" s="98"/>
      <c r="BY185" s="98"/>
      <c r="BZ185" s="98"/>
      <c r="CA185" s="98"/>
      <c r="CB185" s="98"/>
      <c r="CC185" s="98"/>
    </row>
    <row r="186" ht="15.75" customHeight="1">
      <c r="A186" s="98"/>
      <c r="B186" s="98"/>
      <c r="C186" s="98"/>
      <c r="D186" s="98"/>
      <c r="E186" s="98"/>
      <c r="F186" s="98"/>
      <c r="G186" s="98"/>
      <c r="H186" s="98"/>
      <c r="I186" s="99"/>
      <c r="J186" s="99"/>
      <c r="K186" s="99"/>
      <c r="L186" s="99"/>
      <c r="M186" s="99"/>
      <c r="N186" s="99"/>
      <c r="O186" s="99"/>
      <c r="P186" s="99"/>
      <c r="Q186" s="99"/>
      <c r="R186" s="99"/>
      <c r="S186" s="99"/>
      <c r="T186" s="99"/>
      <c r="U186" s="99"/>
      <c r="V186" s="99"/>
      <c r="W186" s="99"/>
      <c r="X186" s="99"/>
      <c r="Y186" s="98"/>
      <c r="Z186" s="98"/>
      <c r="AA186" s="98"/>
      <c r="AB186" s="98"/>
      <c r="AC186" s="98"/>
      <c r="AD186" s="98"/>
      <c r="AE186" s="98"/>
      <c r="AF186" s="98"/>
      <c r="AG186" s="98"/>
      <c r="AH186" s="98"/>
      <c r="AI186" s="98"/>
      <c r="AJ186" s="98"/>
      <c r="AK186" s="98"/>
      <c r="AL186" s="98"/>
      <c r="AM186" s="4"/>
      <c r="AN186" s="4"/>
      <c r="AO186" s="4"/>
      <c r="AP186" s="98"/>
      <c r="AQ186" s="4"/>
      <c r="AR186" s="4"/>
      <c r="AS186" s="4"/>
      <c r="AT186" s="98"/>
      <c r="AU186" s="98"/>
      <c r="AV186" s="98"/>
      <c r="AW186" s="98"/>
      <c r="AX186" s="98"/>
      <c r="AY186" s="98"/>
      <c r="AZ186" s="98"/>
      <c r="BA186" s="98"/>
      <c r="BB186" s="98"/>
      <c r="BC186" s="98"/>
      <c r="BD186" s="98"/>
      <c r="BE186" s="98"/>
      <c r="BF186" s="98"/>
      <c r="BG186" s="98"/>
      <c r="BH186" s="98"/>
      <c r="BI186" s="98"/>
      <c r="BJ186" s="98"/>
      <c r="BK186" s="98"/>
      <c r="BL186" s="98"/>
      <c r="BM186" s="98"/>
      <c r="BN186" s="98"/>
      <c r="BO186" s="98"/>
      <c r="BP186" s="98"/>
      <c r="BQ186" s="98"/>
      <c r="BR186" s="98"/>
      <c r="BS186" s="98"/>
      <c r="BT186" s="98"/>
      <c r="BU186" s="98"/>
      <c r="BV186" s="98"/>
      <c r="BW186" s="98"/>
      <c r="BX186" s="98"/>
      <c r="BY186" s="98"/>
      <c r="BZ186" s="98"/>
      <c r="CA186" s="98"/>
      <c r="CB186" s="98"/>
      <c r="CC186" s="98"/>
    </row>
    <row r="187" ht="15.75" customHeight="1">
      <c r="A187" s="98"/>
      <c r="B187" s="98"/>
      <c r="C187" s="98"/>
      <c r="D187" s="98"/>
      <c r="E187" s="98"/>
      <c r="F187" s="98"/>
      <c r="G187" s="98"/>
      <c r="H187" s="98"/>
      <c r="I187" s="99"/>
      <c r="J187" s="99"/>
      <c r="K187" s="99"/>
      <c r="L187" s="99"/>
      <c r="M187" s="99"/>
      <c r="N187" s="99"/>
      <c r="O187" s="99"/>
      <c r="P187" s="99"/>
      <c r="Q187" s="99"/>
      <c r="R187" s="99"/>
      <c r="S187" s="99"/>
      <c r="T187" s="99"/>
      <c r="U187" s="99"/>
      <c r="V187" s="99"/>
      <c r="W187" s="99"/>
      <c r="X187" s="99"/>
      <c r="Y187" s="98"/>
      <c r="Z187" s="98"/>
      <c r="AA187" s="98"/>
      <c r="AB187" s="98"/>
      <c r="AC187" s="98"/>
      <c r="AD187" s="98"/>
      <c r="AE187" s="98"/>
      <c r="AF187" s="98"/>
      <c r="AG187" s="98"/>
      <c r="AH187" s="98"/>
      <c r="AI187" s="98"/>
      <c r="AJ187" s="98"/>
      <c r="AK187" s="98"/>
      <c r="AL187" s="98"/>
      <c r="AM187" s="4"/>
      <c r="AN187" s="4"/>
      <c r="AO187" s="4"/>
      <c r="AP187" s="98"/>
      <c r="AQ187" s="4"/>
      <c r="AR187" s="4"/>
      <c r="AS187" s="4"/>
      <c r="AT187" s="98"/>
      <c r="AU187" s="98"/>
      <c r="AV187" s="98"/>
      <c r="AW187" s="98"/>
      <c r="AX187" s="98"/>
      <c r="AY187" s="98"/>
      <c r="AZ187" s="98"/>
      <c r="BA187" s="98"/>
      <c r="BB187" s="98"/>
      <c r="BC187" s="98"/>
      <c r="BD187" s="98"/>
      <c r="BE187" s="98"/>
      <c r="BF187" s="98"/>
      <c r="BG187" s="98"/>
      <c r="BH187" s="98"/>
      <c r="BI187" s="98"/>
      <c r="BJ187" s="98"/>
      <c r="BK187" s="98"/>
      <c r="BL187" s="98"/>
      <c r="BM187" s="98"/>
      <c r="BN187" s="98"/>
      <c r="BO187" s="98"/>
      <c r="BP187" s="98"/>
      <c r="BQ187" s="98"/>
      <c r="BR187" s="98"/>
      <c r="BS187" s="98"/>
      <c r="BT187" s="98"/>
      <c r="BU187" s="98"/>
      <c r="BV187" s="98"/>
      <c r="BW187" s="98"/>
      <c r="BX187" s="98"/>
      <c r="BY187" s="98"/>
      <c r="BZ187" s="98"/>
      <c r="CA187" s="98"/>
      <c r="CB187" s="98"/>
      <c r="CC187" s="98"/>
    </row>
    <row r="188" ht="15.75" customHeight="1">
      <c r="A188" s="98"/>
      <c r="B188" s="98"/>
      <c r="C188" s="98"/>
      <c r="D188" s="98"/>
      <c r="E188" s="98"/>
      <c r="F188" s="98"/>
      <c r="G188" s="98"/>
      <c r="H188" s="98"/>
      <c r="I188" s="99"/>
      <c r="J188" s="99"/>
      <c r="K188" s="99"/>
      <c r="L188" s="99"/>
      <c r="M188" s="99"/>
      <c r="N188" s="99"/>
      <c r="O188" s="99"/>
      <c r="P188" s="99"/>
      <c r="Q188" s="99"/>
      <c r="R188" s="99"/>
      <c r="S188" s="99"/>
      <c r="T188" s="99"/>
      <c r="U188" s="99"/>
      <c r="V188" s="99"/>
      <c r="W188" s="99"/>
      <c r="X188" s="99"/>
      <c r="Y188" s="98"/>
      <c r="Z188" s="98"/>
      <c r="AA188" s="98"/>
      <c r="AB188" s="98"/>
      <c r="AC188" s="98"/>
      <c r="AD188" s="98"/>
      <c r="AE188" s="98"/>
      <c r="AF188" s="98"/>
      <c r="AG188" s="98"/>
      <c r="AH188" s="98"/>
      <c r="AI188" s="98"/>
      <c r="AJ188" s="98"/>
      <c r="AK188" s="98"/>
      <c r="AL188" s="98"/>
      <c r="AM188" s="4"/>
      <c r="AN188" s="4"/>
      <c r="AO188" s="4"/>
      <c r="AP188" s="98"/>
      <c r="AQ188" s="4"/>
      <c r="AR188" s="4"/>
      <c r="AS188" s="4"/>
      <c r="AT188" s="98"/>
      <c r="AU188" s="98"/>
      <c r="AV188" s="98"/>
      <c r="AW188" s="98"/>
      <c r="AX188" s="98"/>
      <c r="AY188" s="98"/>
      <c r="AZ188" s="98"/>
      <c r="BA188" s="98"/>
      <c r="BB188" s="98"/>
      <c r="BC188" s="98"/>
      <c r="BD188" s="98"/>
      <c r="BE188" s="98"/>
      <c r="BF188" s="98"/>
      <c r="BG188" s="98"/>
      <c r="BH188" s="98"/>
      <c r="BI188" s="98"/>
      <c r="BJ188" s="98"/>
      <c r="BK188" s="98"/>
      <c r="BL188" s="98"/>
      <c r="BM188" s="98"/>
      <c r="BN188" s="98"/>
      <c r="BO188" s="98"/>
      <c r="BP188" s="98"/>
      <c r="BQ188" s="98"/>
      <c r="BR188" s="98"/>
      <c r="BS188" s="98"/>
      <c r="BT188" s="98"/>
      <c r="BU188" s="98"/>
      <c r="BV188" s="98"/>
      <c r="BW188" s="98"/>
      <c r="BX188" s="98"/>
      <c r="BY188" s="98"/>
      <c r="BZ188" s="98"/>
      <c r="CA188" s="98"/>
      <c r="CB188" s="98"/>
      <c r="CC188" s="98"/>
    </row>
    <row r="189" ht="15.75" customHeight="1">
      <c r="A189" s="98"/>
      <c r="B189" s="98"/>
      <c r="C189" s="98"/>
      <c r="D189" s="98"/>
      <c r="E189" s="98"/>
      <c r="F189" s="98"/>
      <c r="G189" s="98"/>
      <c r="H189" s="98"/>
      <c r="I189" s="99"/>
      <c r="J189" s="99"/>
      <c r="K189" s="99"/>
      <c r="L189" s="99"/>
      <c r="M189" s="99"/>
      <c r="N189" s="99"/>
      <c r="O189" s="99"/>
      <c r="P189" s="99"/>
      <c r="Q189" s="99"/>
      <c r="R189" s="99"/>
      <c r="S189" s="99"/>
      <c r="T189" s="99"/>
      <c r="U189" s="99"/>
      <c r="V189" s="99"/>
      <c r="W189" s="99"/>
      <c r="X189" s="99"/>
      <c r="Y189" s="98"/>
      <c r="Z189" s="98"/>
      <c r="AA189" s="98"/>
      <c r="AB189" s="98"/>
      <c r="AC189" s="98"/>
      <c r="AD189" s="98"/>
      <c r="AE189" s="98"/>
      <c r="AF189" s="98"/>
      <c r="AG189" s="98"/>
      <c r="AH189" s="98"/>
      <c r="AI189" s="98"/>
      <c r="AJ189" s="98"/>
      <c r="AK189" s="98"/>
      <c r="AL189" s="98"/>
      <c r="AM189" s="4"/>
      <c r="AN189" s="4"/>
      <c r="AO189" s="4"/>
      <c r="AP189" s="98"/>
      <c r="AQ189" s="4"/>
      <c r="AR189" s="4"/>
      <c r="AS189" s="4"/>
      <c r="AT189" s="98"/>
      <c r="AU189" s="98"/>
      <c r="AV189" s="98"/>
      <c r="AW189" s="98"/>
      <c r="AX189" s="98"/>
      <c r="AY189" s="98"/>
      <c r="AZ189" s="98"/>
      <c r="BA189" s="98"/>
      <c r="BB189" s="98"/>
      <c r="BC189" s="98"/>
      <c r="BD189" s="98"/>
      <c r="BE189" s="98"/>
      <c r="BF189" s="98"/>
      <c r="BG189" s="98"/>
      <c r="BH189" s="98"/>
      <c r="BI189" s="98"/>
      <c r="BJ189" s="98"/>
      <c r="BK189" s="98"/>
      <c r="BL189" s="98"/>
      <c r="BM189" s="98"/>
      <c r="BN189" s="98"/>
      <c r="BO189" s="98"/>
      <c r="BP189" s="98"/>
      <c r="BQ189" s="98"/>
      <c r="BR189" s="98"/>
      <c r="BS189" s="98"/>
      <c r="BT189" s="98"/>
      <c r="BU189" s="98"/>
      <c r="BV189" s="98"/>
      <c r="BW189" s="98"/>
      <c r="BX189" s="98"/>
      <c r="BY189" s="98"/>
      <c r="BZ189" s="98"/>
      <c r="CA189" s="98"/>
      <c r="CB189" s="98"/>
      <c r="CC189" s="98"/>
    </row>
    <row r="190" ht="15.75" customHeight="1">
      <c r="A190" s="98"/>
      <c r="B190" s="98"/>
      <c r="C190" s="98"/>
      <c r="D190" s="98"/>
      <c r="E190" s="98"/>
      <c r="F190" s="98"/>
      <c r="G190" s="98"/>
      <c r="H190" s="98"/>
      <c r="I190" s="99"/>
      <c r="J190" s="99"/>
      <c r="K190" s="99"/>
      <c r="L190" s="99"/>
      <c r="M190" s="99"/>
      <c r="N190" s="99"/>
      <c r="O190" s="99"/>
      <c r="P190" s="99"/>
      <c r="Q190" s="99"/>
      <c r="R190" s="99"/>
      <c r="S190" s="99"/>
      <c r="T190" s="99"/>
      <c r="U190" s="99"/>
      <c r="V190" s="99"/>
      <c r="W190" s="99"/>
      <c r="X190" s="99"/>
      <c r="Y190" s="98"/>
      <c r="Z190" s="98"/>
      <c r="AA190" s="98"/>
      <c r="AB190" s="98"/>
      <c r="AC190" s="98"/>
      <c r="AD190" s="98"/>
      <c r="AE190" s="98"/>
      <c r="AF190" s="98"/>
      <c r="AG190" s="98"/>
      <c r="AH190" s="98"/>
      <c r="AI190" s="98"/>
      <c r="AJ190" s="98"/>
      <c r="AK190" s="98"/>
      <c r="AL190" s="98"/>
      <c r="AM190" s="4"/>
      <c r="AN190" s="4"/>
      <c r="AO190" s="4"/>
      <c r="AP190" s="98"/>
      <c r="AQ190" s="4"/>
      <c r="AR190" s="4"/>
      <c r="AS190" s="4"/>
      <c r="AT190" s="98"/>
      <c r="AU190" s="98"/>
      <c r="AV190" s="98"/>
      <c r="AW190" s="98"/>
      <c r="AX190" s="98"/>
      <c r="AY190" s="98"/>
      <c r="AZ190" s="98"/>
      <c r="BA190" s="98"/>
      <c r="BB190" s="98"/>
      <c r="BC190" s="98"/>
      <c r="BD190" s="98"/>
      <c r="BE190" s="98"/>
      <c r="BF190" s="98"/>
      <c r="BG190" s="98"/>
      <c r="BH190" s="98"/>
      <c r="BI190" s="98"/>
      <c r="BJ190" s="98"/>
      <c r="BK190" s="98"/>
      <c r="BL190" s="98"/>
      <c r="BM190" s="98"/>
      <c r="BN190" s="98"/>
      <c r="BO190" s="98"/>
      <c r="BP190" s="98"/>
      <c r="BQ190" s="98"/>
      <c r="BR190" s="98"/>
      <c r="BS190" s="98"/>
      <c r="BT190" s="98"/>
      <c r="BU190" s="98"/>
      <c r="BV190" s="98"/>
      <c r="BW190" s="98"/>
      <c r="BX190" s="98"/>
      <c r="BY190" s="98"/>
      <c r="BZ190" s="98"/>
      <c r="CA190" s="98"/>
      <c r="CB190" s="98"/>
      <c r="CC190" s="98"/>
    </row>
    <row r="191" ht="15.75" customHeight="1">
      <c r="A191" s="98"/>
      <c r="B191" s="98"/>
      <c r="C191" s="98"/>
      <c r="D191" s="98"/>
      <c r="E191" s="98"/>
      <c r="F191" s="98"/>
      <c r="G191" s="98"/>
      <c r="H191" s="98"/>
      <c r="I191" s="99"/>
      <c r="J191" s="99"/>
      <c r="K191" s="99"/>
      <c r="L191" s="99"/>
      <c r="M191" s="99"/>
      <c r="N191" s="99"/>
      <c r="O191" s="99"/>
      <c r="P191" s="99"/>
      <c r="Q191" s="99"/>
      <c r="R191" s="99"/>
      <c r="S191" s="99"/>
      <c r="T191" s="99"/>
      <c r="U191" s="99"/>
      <c r="V191" s="99"/>
      <c r="W191" s="99"/>
      <c r="X191" s="99"/>
      <c r="Y191" s="98"/>
      <c r="Z191" s="98"/>
      <c r="AA191" s="98"/>
      <c r="AB191" s="98"/>
      <c r="AC191" s="98"/>
      <c r="AD191" s="98"/>
      <c r="AE191" s="98"/>
      <c r="AF191" s="98"/>
      <c r="AG191" s="98"/>
      <c r="AH191" s="98"/>
      <c r="AI191" s="98"/>
      <c r="AJ191" s="98"/>
      <c r="AK191" s="98"/>
      <c r="AL191" s="98"/>
      <c r="AM191" s="4"/>
      <c r="AN191" s="4"/>
      <c r="AO191" s="4"/>
      <c r="AP191" s="98"/>
      <c r="AQ191" s="4"/>
      <c r="AR191" s="4"/>
      <c r="AS191" s="4"/>
      <c r="AT191" s="98"/>
      <c r="AU191" s="98"/>
      <c r="AV191" s="98"/>
      <c r="AW191" s="98"/>
      <c r="AX191" s="98"/>
      <c r="AY191" s="98"/>
      <c r="AZ191" s="98"/>
      <c r="BA191" s="98"/>
      <c r="BB191" s="98"/>
      <c r="BC191" s="98"/>
      <c r="BD191" s="98"/>
      <c r="BE191" s="98"/>
      <c r="BF191" s="98"/>
      <c r="BG191" s="98"/>
      <c r="BH191" s="98"/>
      <c r="BI191" s="98"/>
      <c r="BJ191" s="98"/>
      <c r="BK191" s="98"/>
      <c r="BL191" s="98"/>
      <c r="BM191" s="98"/>
      <c r="BN191" s="98"/>
      <c r="BO191" s="98"/>
      <c r="BP191" s="98"/>
      <c r="BQ191" s="98"/>
      <c r="BR191" s="98"/>
      <c r="BS191" s="98"/>
      <c r="BT191" s="98"/>
      <c r="BU191" s="98"/>
      <c r="BV191" s="98"/>
      <c r="BW191" s="98"/>
      <c r="BX191" s="98"/>
      <c r="BY191" s="98"/>
      <c r="BZ191" s="98"/>
      <c r="CA191" s="98"/>
      <c r="CB191" s="98"/>
      <c r="CC191" s="98"/>
    </row>
    <row r="192" ht="15.75" customHeight="1">
      <c r="A192" s="98"/>
      <c r="B192" s="98"/>
      <c r="C192" s="98"/>
      <c r="D192" s="98"/>
      <c r="E192" s="98"/>
      <c r="F192" s="98"/>
      <c r="G192" s="98"/>
      <c r="H192" s="98"/>
      <c r="I192" s="99"/>
      <c r="J192" s="99"/>
      <c r="K192" s="99"/>
      <c r="L192" s="99"/>
      <c r="M192" s="99"/>
      <c r="N192" s="99"/>
      <c r="O192" s="99"/>
      <c r="P192" s="99"/>
      <c r="Q192" s="99"/>
      <c r="R192" s="99"/>
      <c r="S192" s="99"/>
      <c r="T192" s="99"/>
      <c r="U192" s="99"/>
      <c r="V192" s="99"/>
      <c r="W192" s="99"/>
      <c r="X192" s="99"/>
      <c r="Y192" s="98"/>
      <c r="Z192" s="98"/>
      <c r="AA192" s="98"/>
      <c r="AB192" s="98"/>
      <c r="AC192" s="98"/>
      <c r="AD192" s="98"/>
      <c r="AE192" s="98"/>
      <c r="AF192" s="98"/>
      <c r="AG192" s="98"/>
      <c r="AH192" s="98"/>
      <c r="AI192" s="98"/>
      <c r="AJ192" s="98"/>
      <c r="AK192" s="98"/>
      <c r="AL192" s="98"/>
      <c r="AM192" s="4"/>
      <c r="AN192" s="4"/>
      <c r="AO192" s="4"/>
      <c r="AP192" s="98"/>
      <c r="AQ192" s="4"/>
      <c r="AR192" s="4"/>
      <c r="AS192" s="4"/>
      <c r="AT192" s="98"/>
      <c r="AU192" s="98"/>
      <c r="AV192" s="98"/>
      <c r="AW192" s="98"/>
      <c r="AX192" s="98"/>
      <c r="AY192" s="98"/>
      <c r="AZ192" s="98"/>
      <c r="BA192" s="98"/>
      <c r="BB192" s="98"/>
      <c r="BC192" s="98"/>
      <c r="BD192" s="98"/>
      <c r="BE192" s="98"/>
      <c r="BF192" s="98"/>
      <c r="BG192" s="98"/>
      <c r="BH192" s="98"/>
      <c r="BI192" s="98"/>
      <c r="BJ192" s="98"/>
      <c r="BK192" s="98"/>
      <c r="BL192" s="98"/>
      <c r="BM192" s="98"/>
      <c r="BN192" s="98"/>
      <c r="BO192" s="98"/>
      <c r="BP192" s="98"/>
      <c r="BQ192" s="98"/>
      <c r="BR192" s="98"/>
      <c r="BS192" s="98"/>
      <c r="BT192" s="98"/>
      <c r="BU192" s="98"/>
      <c r="BV192" s="98"/>
      <c r="BW192" s="98"/>
      <c r="BX192" s="98"/>
      <c r="BY192" s="98"/>
      <c r="BZ192" s="98"/>
      <c r="CA192" s="98"/>
      <c r="CB192" s="98"/>
      <c r="CC192" s="98"/>
    </row>
    <row r="193" ht="15.75" customHeight="1">
      <c r="A193" s="98"/>
      <c r="B193" s="98"/>
      <c r="C193" s="98"/>
      <c r="D193" s="98"/>
      <c r="E193" s="98"/>
      <c r="F193" s="98"/>
      <c r="G193" s="98"/>
      <c r="H193" s="98"/>
      <c r="I193" s="99"/>
      <c r="J193" s="99"/>
      <c r="K193" s="99"/>
      <c r="L193" s="99"/>
      <c r="M193" s="99"/>
      <c r="N193" s="99"/>
      <c r="O193" s="99"/>
      <c r="P193" s="99"/>
      <c r="Q193" s="99"/>
      <c r="R193" s="99"/>
      <c r="S193" s="99"/>
      <c r="T193" s="99"/>
      <c r="U193" s="99"/>
      <c r="V193" s="99"/>
      <c r="W193" s="99"/>
      <c r="X193" s="99"/>
      <c r="Y193" s="98"/>
      <c r="Z193" s="98"/>
      <c r="AA193" s="98"/>
      <c r="AB193" s="98"/>
      <c r="AC193" s="98"/>
      <c r="AD193" s="98"/>
      <c r="AE193" s="98"/>
      <c r="AF193" s="98"/>
      <c r="AG193" s="98"/>
      <c r="AH193" s="98"/>
      <c r="AI193" s="98"/>
      <c r="AJ193" s="98"/>
      <c r="AK193" s="98"/>
      <c r="AL193" s="98"/>
      <c r="AM193" s="4"/>
      <c r="AN193" s="4"/>
      <c r="AO193" s="4"/>
      <c r="AP193" s="98"/>
      <c r="AQ193" s="4"/>
      <c r="AR193" s="4"/>
      <c r="AS193" s="4"/>
      <c r="AT193" s="98"/>
      <c r="AU193" s="98"/>
      <c r="AV193" s="98"/>
      <c r="AW193" s="98"/>
      <c r="AX193" s="98"/>
      <c r="AY193" s="98"/>
      <c r="AZ193" s="98"/>
      <c r="BA193" s="98"/>
      <c r="BB193" s="98"/>
      <c r="BC193" s="98"/>
      <c r="BD193" s="98"/>
      <c r="BE193" s="98"/>
      <c r="BF193" s="98"/>
      <c r="BG193" s="98"/>
      <c r="BH193" s="98"/>
      <c r="BI193" s="98"/>
      <c r="BJ193" s="98"/>
      <c r="BK193" s="98"/>
      <c r="BL193" s="98"/>
      <c r="BM193" s="98"/>
      <c r="BN193" s="98"/>
      <c r="BO193" s="98"/>
      <c r="BP193" s="98"/>
      <c r="BQ193" s="98"/>
      <c r="BR193" s="98"/>
      <c r="BS193" s="98"/>
      <c r="BT193" s="98"/>
      <c r="BU193" s="98"/>
      <c r="BV193" s="98"/>
      <c r="BW193" s="98"/>
      <c r="BX193" s="98"/>
      <c r="BY193" s="98"/>
      <c r="BZ193" s="98"/>
      <c r="CA193" s="98"/>
      <c r="CB193" s="98"/>
      <c r="CC193" s="98"/>
    </row>
    <row r="194" ht="15.75" customHeight="1">
      <c r="A194" s="98"/>
      <c r="B194" s="98"/>
      <c r="C194" s="98"/>
      <c r="D194" s="98"/>
      <c r="E194" s="98"/>
      <c r="F194" s="98"/>
      <c r="G194" s="98"/>
      <c r="H194" s="98"/>
      <c r="I194" s="99"/>
      <c r="J194" s="99"/>
      <c r="K194" s="99"/>
      <c r="L194" s="99"/>
      <c r="M194" s="99"/>
      <c r="N194" s="99"/>
      <c r="O194" s="99"/>
      <c r="P194" s="99"/>
      <c r="Q194" s="99"/>
      <c r="R194" s="99"/>
      <c r="S194" s="99"/>
      <c r="T194" s="99"/>
      <c r="U194" s="99"/>
      <c r="V194" s="99"/>
      <c r="W194" s="99"/>
      <c r="X194" s="99"/>
      <c r="Y194" s="98"/>
      <c r="Z194" s="98"/>
      <c r="AA194" s="98"/>
      <c r="AB194" s="98"/>
      <c r="AC194" s="98"/>
      <c r="AD194" s="98"/>
      <c r="AE194" s="98"/>
      <c r="AF194" s="98"/>
      <c r="AG194" s="98"/>
      <c r="AH194" s="98"/>
      <c r="AI194" s="98"/>
      <c r="AJ194" s="98"/>
      <c r="AK194" s="98"/>
      <c r="AL194" s="98"/>
      <c r="AM194" s="4"/>
      <c r="AN194" s="4"/>
      <c r="AO194" s="4"/>
      <c r="AP194" s="98"/>
      <c r="AQ194" s="4"/>
      <c r="AR194" s="4"/>
      <c r="AS194" s="4"/>
      <c r="AT194" s="98"/>
      <c r="AU194" s="98"/>
      <c r="AV194" s="98"/>
      <c r="AW194" s="98"/>
      <c r="AX194" s="98"/>
      <c r="AY194" s="98"/>
      <c r="AZ194" s="98"/>
      <c r="BA194" s="98"/>
      <c r="BB194" s="98"/>
      <c r="BC194" s="98"/>
      <c r="BD194" s="98"/>
      <c r="BE194" s="98"/>
      <c r="BF194" s="98"/>
      <c r="BG194" s="98"/>
      <c r="BH194" s="98"/>
      <c r="BI194" s="98"/>
      <c r="BJ194" s="98"/>
      <c r="BK194" s="98"/>
      <c r="BL194" s="98"/>
      <c r="BM194" s="98"/>
      <c r="BN194" s="98"/>
      <c r="BO194" s="98"/>
      <c r="BP194" s="98"/>
      <c r="BQ194" s="98"/>
      <c r="BR194" s="98"/>
      <c r="BS194" s="98"/>
      <c r="BT194" s="98"/>
      <c r="BU194" s="98"/>
      <c r="BV194" s="98"/>
      <c r="BW194" s="98"/>
      <c r="BX194" s="98"/>
      <c r="BY194" s="98"/>
      <c r="BZ194" s="98"/>
      <c r="CA194" s="98"/>
      <c r="CB194" s="98"/>
      <c r="CC194" s="98"/>
    </row>
    <row r="195" ht="15.75" customHeight="1">
      <c r="A195" s="98"/>
      <c r="B195" s="98"/>
      <c r="C195" s="98"/>
      <c r="D195" s="98"/>
      <c r="E195" s="98"/>
      <c r="F195" s="98"/>
      <c r="G195" s="98"/>
      <c r="H195" s="98"/>
      <c r="I195" s="99"/>
      <c r="J195" s="99"/>
      <c r="K195" s="99"/>
      <c r="L195" s="99"/>
      <c r="M195" s="99"/>
      <c r="N195" s="99"/>
      <c r="O195" s="99"/>
      <c r="P195" s="99"/>
      <c r="Q195" s="99"/>
      <c r="R195" s="99"/>
      <c r="S195" s="99"/>
      <c r="T195" s="99"/>
      <c r="U195" s="99"/>
      <c r="V195" s="99"/>
      <c r="W195" s="99"/>
      <c r="X195" s="99"/>
      <c r="Y195" s="98"/>
      <c r="Z195" s="98"/>
      <c r="AA195" s="98"/>
      <c r="AB195" s="98"/>
      <c r="AC195" s="98"/>
      <c r="AD195" s="98"/>
      <c r="AE195" s="98"/>
      <c r="AF195" s="98"/>
      <c r="AG195" s="98"/>
      <c r="AH195" s="98"/>
      <c r="AI195" s="98"/>
      <c r="AJ195" s="98"/>
      <c r="AK195" s="98"/>
      <c r="AL195" s="98"/>
      <c r="AM195" s="4"/>
      <c r="AN195" s="4"/>
      <c r="AO195" s="4"/>
      <c r="AP195" s="98"/>
      <c r="AQ195" s="4"/>
      <c r="AR195" s="4"/>
      <c r="AS195" s="4"/>
      <c r="AT195" s="98"/>
      <c r="AU195" s="98"/>
      <c r="AV195" s="98"/>
      <c r="AW195" s="98"/>
      <c r="AX195" s="98"/>
      <c r="AY195" s="98"/>
      <c r="AZ195" s="98"/>
      <c r="BA195" s="98"/>
      <c r="BB195" s="98"/>
      <c r="BC195" s="98"/>
      <c r="BD195" s="98"/>
      <c r="BE195" s="98"/>
      <c r="BF195" s="98"/>
      <c r="BG195" s="98"/>
      <c r="BH195" s="98"/>
      <c r="BI195" s="98"/>
      <c r="BJ195" s="98"/>
      <c r="BK195" s="98"/>
      <c r="BL195" s="98"/>
      <c r="BM195" s="98"/>
      <c r="BN195" s="98"/>
      <c r="BO195" s="98"/>
      <c r="BP195" s="98"/>
      <c r="BQ195" s="98"/>
      <c r="BR195" s="98"/>
      <c r="BS195" s="98"/>
      <c r="BT195" s="98"/>
      <c r="BU195" s="98"/>
      <c r="BV195" s="98"/>
      <c r="BW195" s="98"/>
      <c r="BX195" s="98"/>
      <c r="BY195" s="98"/>
      <c r="BZ195" s="98"/>
      <c r="CA195" s="98"/>
      <c r="CB195" s="98"/>
      <c r="CC195" s="98"/>
    </row>
    <row r="196" ht="15.75" customHeight="1">
      <c r="A196" s="98"/>
      <c r="B196" s="98"/>
      <c r="C196" s="98"/>
      <c r="D196" s="98"/>
      <c r="E196" s="98"/>
      <c r="F196" s="98"/>
      <c r="G196" s="98"/>
      <c r="H196" s="98"/>
      <c r="I196" s="99"/>
      <c r="J196" s="99"/>
      <c r="K196" s="99"/>
      <c r="L196" s="99"/>
      <c r="M196" s="99"/>
      <c r="N196" s="99"/>
      <c r="O196" s="99"/>
      <c r="P196" s="99"/>
      <c r="Q196" s="99"/>
      <c r="R196" s="99"/>
      <c r="S196" s="99"/>
      <c r="T196" s="99"/>
      <c r="U196" s="99"/>
      <c r="V196" s="99"/>
      <c r="W196" s="99"/>
      <c r="X196" s="99"/>
      <c r="Y196" s="98"/>
      <c r="Z196" s="98"/>
      <c r="AA196" s="98"/>
      <c r="AB196" s="98"/>
      <c r="AC196" s="98"/>
      <c r="AD196" s="98"/>
      <c r="AE196" s="98"/>
      <c r="AF196" s="98"/>
      <c r="AG196" s="98"/>
      <c r="AH196" s="98"/>
      <c r="AI196" s="98"/>
      <c r="AJ196" s="98"/>
      <c r="AK196" s="98"/>
      <c r="AL196" s="98"/>
      <c r="AM196" s="4"/>
      <c r="AN196" s="4"/>
      <c r="AO196" s="4"/>
      <c r="AP196" s="98"/>
      <c r="AQ196" s="4"/>
      <c r="AR196" s="4"/>
      <c r="AS196" s="4"/>
      <c r="AT196" s="98"/>
      <c r="AU196" s="98"/>
      <c r="AV196" s="98"/>
      <c r="AW196" s="98"/>
      <c r="AX196" s="98"/>
      <c r="AY196" s="98"/>
      <c r="AZ196" s="98"/>
      <c r="BA196" s="98"/>
      <c r="BB196" s="98"/>
      <c r="BC196" s="98"/>
      <c r="BD196" s="98"/>
      <c r="BE196" s="98"/>
      <c r="BF196" s="98"/>
      <c r="BG196" s="98"/>
      <c r="BH196" s="98"/>
      <c r="BI196" s="98"/>
      <c r="BJ196" s="98"/>
      <c r="BK196" s="98"/>
      <c r="BL196" s="98"/>
      <c r="BM196" s="98"/>
      <c r="BN196" s="98"/>
      <c r="BO196" s="98"/>
      <c r="BP196" s="98"/>
      <c r="BQ196" s="98"/>
      <c r="BR196" s="98"/>
      <c r="BS196" s="98"/>
      <c r="BT196" s="98"/>
      <c r="BU196" s="98"/>
      <c r="BV196" s="98"/>
      <c r="BW196" s="98"/>
      <c r="BX196" s="98"/>
      <c r="BY196" s="98"/>
      <c r="BZ196" s="98"/>
      <c r="CA196" s="98"/>
      <c r="CB196" s="98"/>
      <c r="CC196" s="98"/>
    </row>
    <row r="197" ht="15.75" customHeight="1">
      <c r="A197" s="98"/>
      <c r="B197" s="98"/>
      <c r="C197" s="98"/>
      <c r="D197" s="98"/>
      <c r="E197" s="98"/>
      <c r="F197" s="98"/>
      <c r="G197" s="98"/>
      <c r="H197" s="98"/>
      <c r="I197" s="99"/>
      <c r="J197" s="99"/>
      <c r="K197" s="99"/>
      <c r="L197" s="99"/>
      <c r="M197" s="99"/>
      <c r="N197" s="99"/>
      <c r="O197" s="99"/>
      <c r="P197" s="99"/>
      <c r="Q197" s="99"/>
      <c r="R197" s="99"/>
      <c r="S197" s="99"/>
      <c r="T197" s="99"/>
      <c r="U197" s="99"/>
      <c r="V197" s="99"/>
      <c r="W197" s="99"/>
      <c r="X197" s="99"/>
      <c r="Y197" s="98"/>
      <c r="Z197" s="98"/>
      <c r="AA197" s="98"/>
      <c r="AB197" s="98"/>
      <c r="AC197" s="98"/>
      <c r="AD197" s="98"/>
      <c r="AE197" s="98"/>
      <c r="AF197" s="98"/>
      <c r="AG197" s="98"/>
      <c r="AH197" s="98"/>
      <c r="AI197" s="98"/>
      <c r="AJ197" s="98"/>
      <c r="AK197" s="98"/>
      <c r="AL197" s="98"/>
      <c r="AM197" s="4"/>
      <c r="AN197" s="4"/>
      <c r="AO197" s="4"/>
      <c r="AP197" s="98"/>
      <c r="AQ197" s="4"/>
      <c r="AR197" s="4"/>
      <c r="AS197" s="4"/>
      <c r="AT197" s="98"/>
      <c r="AU197" s="98"/>
      <c r="AV197" s="98"/>
      <c r="AW197" s="98"/>
      <c r="AX197" s="98"/>
      <c r="AY197" s="98"/>
      <c r="AZ197" s="98"/>
      <c r="BA197" s="98"/>
      <c r="BB197" s="98"/>
      <c r="BC197" s="98"/>
      <c r="BD197" s="98"/>
      <c r="BE197" s="98"/>
      <c r="BF197" s="98"/>
      <c r="BG197" s="98"/>
      <c r="BH197" s="98"/>
      <c r="BI197" s="98"/>
      <c r="BJ197" s="98"/>
      <c r="BK197" s="98"/>
      <c r="BL197" s="98"/>
      <c r="BM197" s="98"/>
      <c r="BN197" s="98"/>
      <c r="BO197" s="98"/>
      <c r="BP197" s="98"/>
      <c r="BQ197" s="98"/>
      <c r="BR197" s="98"/>
      <c r="BS197" s="98"/>
      <c r="BT197" s="98"/>
      <c r="BU197" s="98"/>
      <c r="BV197" s="98"/>
      <c r="BW197" s="98"/>
      <c r="BX197" s="98"/>
      <c r="BY197" s="98"/>
      <c r="BZ197" s="98"/>
      <c r="CA197" s="98"/>
      <c r="CB197" s="98"/>
      <c r="CC197" s="98"/>
    </row>
    <row r="198" ht="15.75" customHeight="1">
      <c r="A198" s="98"/>
      <c r="B198" s="98"/>
      <c r="C198" s="98"/>
      <c r="D198" s="98"/>
      <c r="E198" s="98"/>
      <c r="F198" s="98"/>
      <c r="G198" s="98"/>
      <c r="H198" s="98"/>
      <c r="I198" s="99"/>
      <c r="J198" s="99"/>
      <c r="K198" s="99"/>
      <c r="L198" s="99"/>
      <c r="M198" s="99"/>
      <c r="N198" s="99"/>
      <c r="O198" s="99"/>
      <c r="P198" s="99"/>
      <c r="Q198" s="99"/>
      <c r="R198" s="99"/>
      <c r="S198" s="99"/>
      <c r="T198" s="99"/>
      <c r="U198" s="99"/>
      <c r="V198" s="99"/>
      <c r="W198" s="99"/>
      <c r="X198" s="99"/>
      <c r="Y198" s="98"/>
      <c r="Z198" s="98"/>
      <c r="AA198" s="98"/>
      <c r="AB198" s="98"/>
      <c r="AC198" s="98"/>
      <c r="AD198" s="98"/>
      <c r="AE198" s="98"/>
      <c r="AF198" s="98"/>
      <c r="AG198" s="98"/>
      <c r="AH198" s="98"/>
      <c r="AI198" s="98"/>
      <c r="AJ198" s="98"/>
      <c r="AK198" s="98"/>
      <c r="AL198" s="98"/>
      <c r="AM198" s="4"/>
      <c r="AN198" s="4"/>
      <c r="AO198" s="4"/>
      <c r="AP198" s="98"/>
      <c r="AQ198" s="4"/>
      <c r="AR198" s="4"/>
      <c r="AS198" s="4"/>
      <c r="AT198" s="98"/>
      <c r="AU198" s="98"/>
      <c r="AV198" s="98"/>
      <c r="AW198" s="98"/>
      <c r="AX198" s="98"/>
      <c r="AY198" s="98"/>
      <c r="AZ198" s="98"/>
      <c r="BA198" s="98"/>
      <c r="BB198" s="98"/>
      <c r="BC198" s="98"/>
      <c r="BD198" s="98"/>
      <c r="BE198" s="98"/>
      <c r="BF198" s="98"/>
      <c r="BG198" s="98"/>
      <c r="BH198" s="98"/>
      <c r="BI198" s="98"/>
      <c r="BJ198" s="98"/>
      <c r="BK198" s="98"/>
      <c r="BL198" s="98"/>
      <c r="BM198" s="98"/>
      <c r="BN198" s="98"/>
      <c r="BO198" s="98"/>
      <c r="BP198" s="98"/>
      <c r="BQ198" s="98"/>
      <c r="BR198" s="98"/>
      <c r="BS198" s="98"/>
      <c r="BT198" s="98"/>
      <c r="BU198" s="98"/>
      <c r="BV198" s="98"/>
      <c r="BW198" s="98"/>
      <c r="BX198" s="98"/>
      <c r="BY198" s="98"/>
      <c r="BZ198" s="98"/>
      <c r="CA198" s="98"/>
      <c r="CB198" s="98"/>
      <c r="CC198" s="98"/>
    </row>
    <row r="199" ht="15.75" customHeight="1">
      <c r="A199" s="98"/>
      <c r="B199" s="98"/>
      <c r="C199" s="98"/>
      <c r="D199" s="98"/>
      <c r="E199" s="98"/>
      <c r="F199" s="98"/>
      <c r="G199" s="98"/>
      <c r="H199" s="98"/>
      <c r="I199" s="99"/>
      <c r="J199" s="99"/>
      <c r="K199" s="99"/>
      <c r="L199" s="99"/>
      <c r="M199" s="99"/>
      <c r="N199" s="99"/>
      <c r="O199" s="99"/>
      <c r="P199" s="99"/>
      <c r="Q199" s="99"/>
      <c r="R199" s="99"/>
      <c r="S199" s="99"/>
      <c r="T199" s="99"/>
      <c r="U199" s="99"/>
      <c r="V199" s="99"/>
      <c r="W199" s="99"/>
      <c r="X199" s="99"/>
      <c r="Y199" s="98"/>
      <c r="Z199" s="98"/>
      <c r="AA199" s="98"/>
      <c r="AB199" s="98"/>
      <c r="AC199" s="98"/>
      <c r="AD199" s="98"/>
      <c r="AE199" s="98"/>
      <c r="AF199" s="98"/>
      <c r="AG199" s="98"/>
      <c r="AH199" s="98"/>
      <c r="AI199" s="98"/>
      <c r="AJ199" s="98"/>
      <c r="AK199" s="98"/>
      <c r="AL199" s="98"/>
      <c r="AM199" s="4"/>
      <c r="AN199" s="4"/>
      <c r="AO199" s="4"/>
      <c r="AP199" s="98"/>
      <c r="AQ199" s="4"/>
      <c r="AR199" s="4"/>
      <c r="AS199" s="4"/>
      <c r="AT199" s="98"/>
      <c r="AU199" s="98"/>
      <c r="AV199" s="98"/>
      <c r="AW199" s="98"/>
      <c r="AX199" s="98"/>
      <c r="AY199" s="98"/>
      <c r="AZ199" s="98"/>
      <c r="BA199" s="98"/>
      <c r="BB199" s="98"/>
      <c r="BC199" s="98"/>
      <c r="BD199" s="98"/>
      <c r="BE199" s="98"/>
      <c r="BF199" s="98"/>
      <c r="BG199" s="98"/>
      <c r="BH199" s="98"/>
      <c r="BI199" s="98"/>
      <c r="BJ199" s="98"/>
      <c r="BK199" s="98"/>
      <c r="BL199" s="98"/>
      <c r="BM199" s="98"/>
      <c r="BN199" s="98"/>
      <c r="BO199" s="98"/>
      <c r="BP199" s="98"/>
      <c r="BQ199" s="98"/>
      <c r="BR199" s="98"/>
      <c r="BS199" s="98"/>
      <c r="BT199" s="98"/>
      <c r="BU199" s="98"/>
      <c r="BV199" s="98"/>
      <c r="BW199" s="98"/>
      <c r="BX199" s="98"/>
      <c r="BY199" s="98"/>
      <c r="BZ199" s="98"/>
      <c r="CA199" s="98"/>
      <c r="CB199" s="98"/>
      <c r="CC199" s="98"/>
    </row>
    <row r="200" ht="15.75" customHeight="1">
      <c r="A200" s="98"/>
      <c r="B200" s="98"/>
      <c r="C200" s="98"/>
      <c r="D200" s="98"/>
      <c r="E200" s="98"/>
      <c r="F200" s="98"/>
      <c r="G200" s="98"/>
      <c r="H200" s="98"/>
      <c r="I200" s="99"/>
      <c r="J200" s="99"/>
      <c r="K200" s="99"/>
      <c r="L200" s="99"/>
      <c r="M200" s="99"/>
      <c r="N200" s="99"/>
      <c r="O200" s="99"/>
      <c r="P200" s="99"/>
      <c r="Q200" s="99"/>
      <c r="R200" s="99"/>
      <c r="S200" s="99"/>
      <c r="T200" s="99"/>
      <c r="U200" s="99"/>
      <c r="V200" s="99"/>
      <c r="W200" s="99"/>
      <c r="X200" s="99"/>
      <c r="Y200" s="98"/>
      <c r="Z200" s="98"/>
      <c r="AA200" s="98"/>
      <c r="AB200" s="98"/>
      <c r="AC200" s="98"/>
      <c r="AD200" s="98"/>
      <c r="AE200" s="98"/>
      <c r="AF200" s="98"/>
      <c r="AG200" s="98"/>
      <c r="AH200" s="98"/>
      <c r="AI200" s="98"/>
      <c r="AJ200" s="98"/>
      <c r="AK200" s="98"/>
      <c r="AL200" s="98"/>
      <c r="AM200" s="4"/>
      <c r="AN200" s="4"/>
      <c r="AO200" s="4"/>
      <c r="AP200" s="98"/>
      <c r="AQ200" s="4"/>
      <c r="AR200" s="4"/>
      <c r="AS200" s="4"/>
      <c r="AT200" s="98"/>
      <c r="AU200" s="98"/>
      <c r="AV200" s="98"/>
      <c r="AW200" s="98"/>
      <c r="AX200" s="98"/>
      <c r="AY200" s="98"/>
      <c r="AZ200" s="98"/>
      <c r="BA200" s="98"/>
      <c r="BB200" s="98"/>
      <c r="BC200" s="98"/>
      <c r="BD200" s="98"/>
      <c r="BE200" s="98"/>
      <c r="BF200" s="98"/>
      <c r="BG200" s="98"/>
      <c r="BH200" s="98"/>
      <c r="BI200" s="98"/>
      <c r="BJ200" s="98"/>
      <c r="BK200" s="98"/>
      <c r="BL200" s="98"/>
      <c r="BM200" s="98"/>
      <c r="BN200" s="98"/>
      <c r="BO200" s="98"/>
      <c r="BP200" s="98"/>
      <c r="BQ200" s="98"/>
      <c r="BR200" s="98"/>
      <c r="BS200" s="98"/>
      <c r="BT200" s="98"/>
      <c r="BU200" s="98"/>
      <c r="BV200" s="98"/>
      <c r="BW200" s="98"/>
      <c r="BX200" s="98"/>
      <c r="BY200" s="98"/>
      <c r="BZ200" s="98"/>
      <c r="CA200" s="98"/>
      <c r="CB200" s="98"/>
      <c r="CC200" s="98"/>
    </row>
    <row r="201" ht="15.75" customHeight="1">
      <c r="A201" s="98"/>
      <c r="B201" s="98"/>
      <c r="C201" s="98"/>
      <c r="D201" s="98"/>
      <c r="E201" s="98"/>
      <c r="F201" s="98"/>
      <c r="G201" s="98"/>
      <c r="H201" s="98"/>
      <c r="I201" s="99"/>
      <c r="J201" s="99"/>
      <c r="K201" s="99"/>
      <c r="L201" s="99"/>
      <c r="M201" s="99"/>
      <c r="N201" s="99"/>
      <c r="O201" s="99"/>
      <c r="P201" s="99"/>
      <c r="Q201" s="99"/>
      <c r="R201" s="99"/>
      <c r="S201" s="99"/>
      <c r="T201" s="99"/>
      <c r="U201" s="99"/>
      <c r="V201" s="99"/>
      <c r="W201" s="99"/>
      <c r="X201" s="99"/>
      <c r="Y201" s="98"/>
      <c r="Z201" s="98"/>
      <c r="AA201" s="98"/>
      <c r="AB201" s="98"/>
      <c r="AC201" s="98"/>
      <c r="AD201" s="98"/>
      <c r="AE201" s="98"/>
      <c r="AF201" s="98"/>
      <c r="AG201" s="98"/>
      <c r="AH201" s="98"/>
      <c r="AI201" s="98"/>
      <c r="AJ201" s="98"/>
      <c r="AK201" s="98"/>
      <c r="AL201" s="98"/>
      <c r="AM201" s="4"/>
      <c r="AN201" s="4"/>
      <c r="AO201" s="4"/>
      <c r="AP201" s="98"/>
      <c r="AQ201" s="4"/>
      <c r="AR201" s="4"/>
      <c r="AS201" s="4"/>
      <c r="AT201" s="98"/>
      <c r="AU201" s="98"/>
      <c r="AV201" s="98"/>
      <c r="AW201" s="98"/>
      <c r="AX201" s="98"/>
      <c r="AY201" s="98"/>
      <c r="AZ201" s="98"/>
      <c r="BA201" s="98"/>
      <c r="BB201" s="98"/>
      <c r="BC201" s="98"/>
      <c r="BD201" s="98"/>
      <c r="BE201" s="98"/>
      <c r="BF201" s="98"/>
      <c r="BG201" s="98"/>
      <c r="BH201" s="98"/>
      <c r="BI201" s="98"/>
      <c r="BJ201" s="98"/>
      <c r="BK201" s="98"/>
      <c r="BL201" s="98"/>
      <c r="BM201" s="98"/>
      <c r="BN201" s="98"/>
      <c r="BO201" s="98"/>
      <c r="BP201" s="98"/>
      <c r="BQ201" s="98"/>
      <c r="BR201" s="98"/>
      <c r="BS201" s="98"/>
      <c r="BT201" s="98"/>
      <c r="BU201" s="98"/>
      <c r="BV201" s="98"/>
      <c r="BW201" s="98"/>
      <c r="BX201" s="98"/>
      <c r="BY201" s="98"/>
      <c r="BZ201" s="98"/>
      <c r="CA201" s="98"/>
      <c r="CB201" s="98"/>
      <c r="CC201" s="98"/>
    </row>
    <row r="202" ht="15.75" customHeight="1">
      <c r="A202" s="98"/>
      <c r="B202" s="98"/>
      <c r="C202" s="98"/>
      <c r="D202" s="98"/>
      <c r="E202" s="98"/>
      <c r="F202" s="98"/>
      <c r="G202" s="98"/>
      <c r="H202" s="98"/>
      <c r="I202" s="99"/>
      <c r="J202" s="99"/>
      <c r="K202" s="99"/>
      <c r="L202" s="99"/>
      <c r="M202" s="99"/>
      <c r="N202" s="99"/>
      <c r="O202" s="99"/>
      <c r="P202" s="99"/>
      <c r="Q202" s="99"/>
      <c r="R202" s="99"/>
      <c r="S202" s="99"/>
      <c r="T202" s="99"/>
      <c r="U202" s="99"/>
      <c r="V202" s="99"/>
      <c r="W202" s="99"/>
      <c r="X202" s="99"/>
      <c r="Y202" s="98"/>
      <c r="Z202" s="98"/>
      <c r="AA202" s="98"/>
      <c r="AB202" s="98"/>
      <c r="AC202" s="98"/>
      <c r="AD202" s="98"/>
      <c r="AE202" s="98"/>
      <c r="AF202" s="98"/>
      <c r="AG202" s="98"/>
      <c r="AH202" s="98"/>
      <c r="AI202" s="98"/>
      <c r="AJ202" s="98"/>
      <c r="AK202" s="98"/>
      <c r="AL202" s="98"/>
      <c r="AM202" s="4"/>
      <c r="AN202" s="4"/>
      <c r="AO202" s="4"/>
      <c r="AP202" s="98"/>
      <c r="AQ202" s="4"/>
      <c r="AR202" s="4"/>
      <c r="AS202" s="4"/>
      <c r="AT202" s="98"/>
      <c r="AU202" s="98"/>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c r="BT202" s="98"/>
      <c r="BU202" s="98"/>
      <c r="BV202" s="98"/>
      <c r="BW202" s="98"/>
      <c r="BX202" s="98"/>
      <c r="BY202" s="98"/>
      <c r="BZ202" s="98"/>
      <c r="CA202" s="98"/>
      <c r="CB202" s="98"/>
      <c r="CC202" s="98"/>
    </row>
    <row r="203" ht="15.75" customHeight="1">
      <c r="A203" s="98"/>
      <c r="B203" s="98"/>
      <c r="C203" s="98"/>
      <c r="D203" s="98"/>
      <c r="E203" s="98"/>
      <c r="F203" s="98"/>
      <c r="G203" s="98"/>
      <c r="H203" s="98"/>
      <c r="I203" s="99"/>
      <c r="J203" s="99"/>
      <c r="K203" s="99"/>
      <c r="L203" s="99"/>
      <c r="M203" s="99"/>
      <c r="N203" s="99"/>
      <c r="O203" s="99"/>
      <c r="P203" s="99"/>
      <c r="Q203" s="99"/>
      <c r="R203" s="99"/>
      <c r="S203" s="99"/>
      <c r="T203" s="99"/>
      <c r="U203" s="99"/>
      <c r="V203" s="99"/>
      <c r="W203" s="99"/>
      <c r="X203" s="99"/>
      <c r="Y203" s="98"/>
      <c r="Z203" s="98"/>
      <c r="AA203" s="98"/>
      <c r="AB203" s="98"/>
      <c r="AC203" s="98"/>
      <c r="AD203" s="98"/>
      <c r="AE203" s="98"/>
      <c r="AF203" s="98"/>
      <c r="AG203" s="98"/>
      <c r="AH203" s="98"/>
      <c r="AI203" s="98"/>
      <c r="AJ203" s="98"/>
      <c r="AK203" s="98"/>
      <c r="AL203" s="98"/>
      <c r="AM203" s="4"/>
      <c r="AN203" s="4"/>
      <c r="AO203" s="4"/>
      <c r="AP203" s="98"/>
      <c r="AQ203" s="4"/>
      <c r="AR203" s="4"/>
      <c r="AS203" s="4"/>
      <c r="AT203" s="98"/>
      <c r="AU203" s="98"/>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c r="BT203" s="98"/>
      <c r="BU203" s="98"/>
      <c r="BV203" s="98"/>
      <c r="BW203" s="98"/>
      <c r="BX203" s="98"/>
      <c r="BY203" s="98"/>
      <c r="BZ203" s="98"/>
      <c r="CA203" s="98"/>
      <c r="CB203" s="98"/>
      <c r="CC203" s="98"/>
    </row>
    <row r="204" ht="15.75" customHeight="1">
      <c r="A204" s="98"/>
      <c r="B204" s="98"/>
      <c r="C204" s="98"/>
      <c r="D204" s="98"/>
      <c r="E204" s="98"/>
      <c r="F204" s="98"/>
      <c r="G204" s="98"/>
      <c r="H204" s="98"/>
      <c r="I204" s="99"/>
      <c r="J204" s="99"/>
      <c r="K204" s="99"/>
      <c r="L204" s="99"/>
      <c r="M204" s="99"/>
      <c r="N204" s="99"/>
      <c r="O204" s="99"/>
      <c r="P204" s="99"/>
      <c r="Q204" s="99"/>
      <c r="R204" s="99"/>
      <c r="S204" s="99"/>
      <c r="T204" s="99"/>
      <c r="U204" s="99"/>
      <c r="V204" s="99"/>
      <c r="W204" s="99"/>
      <c r="X204" s="99"/>
      <c r="Y204" s="98"/>
      <c r="Z204" s="98"/>
      <c r="AA204" s="98"/>
      <c r="AB204" s="98"/>
      <c r="AC204" s="98"/>
      <c r="AD204" s="98"/>
      <c r="AE204" s="98"/>
      <c r="AF204" s="98"/>
      <c r="AG204" s="98"/>
      <c r="AH204" s="98"/>
      <c r="AI204" s="98"/>
      <c r="AJ204" s="98"/>
      <c r="AK204" s="98"/>
      <c r="AL204" s="98"/>
      <c r="AM204" s="4"/>
      <c r="AN204" s="4"/>
      <c r="AO204" s="4"/>
      <c r="AP204" s="98"/>
      <c r="AQ204" s="4"/>
      <c r="AR204" s="4"/>
      <c r="AS204" s="4"/>
      <c r="AT204" s="98"/>
      <c r="AU204" s="98"/>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c r="BT204" s="98"/>
      <c r="BU204" s="98"/>
      <c r="BV204" s="98"/>
      <c r="BW204" s="98"/>
      <c r="BX204" s="98"/>
      <c r="BY204" s="98"/>
      <c r="BZ204" s="98"/>
      <c r="CA204" s="98"/>
      <c r="CB204" s="98"/>
      <c r="CC204" s="98"/>
    </row>
    <row r="205" ht="15.75" customHeight="1">
      <c r="A205" s="98"/>
      <c r="B205" s="98"/>
      <c r="C205" s="98"/>
      <c r="D205" s="98"/>
      <c r="E205" s="98"/>
      <c r="F205" s="98"/>
      <c r="G205" s="98"/>
      <c r="H205" s="98"/>
      <c r="I205" s="99"/>
      <c r="J205" s="99"/>
      <c r="K205" s="99"/>
      <c r="L205" s="99"/>
      <c r="M205" s="99"/>
      <c r="N205" s="99"/>
      <c r="O205" s="99"/>
      <c r="P205" s="99"/>
      <c r="Q205" s="99"/>
      <c r="R205" s="99"/>
      <c r="S205" s="99"/>
      <c r="T205" s="99"/>
      <c r="U205" s="99"/>
      <c r="V205" s="99"/>
      <c r="W205" s="99"/>
      <c r="X205" s="99"/>
      <c r="Y205" s="98"/>
      <c r="Z205" s="98"/>
      <c r="AA205" s="98"/>
      <c r="AB205" s="98"/>
      <c r="AC205" s="98"/>
      <c r="AD205" s="98"/>
      <c r="AE205" s="98"/>
      <c r="AF205" s="98"/>
      <c r="AG205" s="98"/>
      <c r="AH205" s="98"/>
      <c r="AI205" s="98"/>
      <c r="AJ205" s="98"/>
      <c r="AK205" s="98"/>
      <c r="AL205" s="98"/>
      <c r="AM205" s="4"/>
      <c r="AN205" s="4"/>
      <c r="AO205" s="4"/>
      <c r="AP205" s="98"/>
      <c r="AQ205" s="4"/>
      <c r="AR205" s="4"/>
      <c r="AS205" s="4"/>
      <c r="AT205" s="98"/>
      <c r="AU205" s="98"/>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c r="BT205" s="98"/>
      <c r="BU205" s="98"/>
      <c r="BV205" s="98"/>
      <c r="BW205" s="98"/>
      <c r="BX205" s="98"/>
      <c r="BY205" s="98"/>
      <c r="BZ205" s="98"/>
      <c r="CA205" s="98"/>
      <c r="CB205" s="98"/>
      <c r="CC205" s="98"/>
    </row>
    <row r="206" ht="15.75" customHeight="1">
      <c r="A206" s="98"/>
      <c r="B206" s="98"/>
      <c r="C206" s="98"/>
      <c r="D206" s="98"/>
      <c r="E206" s="98"/>
      <c r="F206" s="98"/>
      <c r="G206" s="98"/>
      <c r="H206" s="98"/>
      <c r="I206" s="99"/>
      <c r="J206" s="99"/>
      <c r="K206" s="99"/>
      <c r="L206" s="99"/>
      <c r="M206" s="99"/>
      <c r="N206" s="99"/>
      <c r="O206" s="99"/>
      <c r="P206" s="99"/>
      <c r="Q206" s="99"/>
      <c r="R206" s="99"/>
      <c r="S206" s="99"/>
      <c r="T206" s="99"/>
      <c r="U206" s="99"/>
      <c r="V206" s="99"/>
      <c r="W206" s="99"/>
      <c r="X206" s="99"/>
      <c r="Y206" s="98"/>
      <c r="Z206" s="98"/>
      <c r="AA206" s="98"/>
      <c r="AB206" s="98"/>
      <c r="AC206" s="98"/>
      <c r="AD206" s="98"/>
      <c r="AE206" s="98"/>
      <c r="AF206" s="98"/>
      <c r="AG206" s="98"/>
      <c r="AH206" s="98"/>
      <c r="AI206" s="98"/>
      <c r="AJ206" s="98"/>
      <c r="AK206" s="98"/>
      <c r="AL206" s="98"/>
      <c r="AM206" s="4"/>
      <c r="AN206" s="4"/>
      <c r="AO206" s="4"/>
      <c r="AP206" s="98"/>
      <c r="AQ206" s="4"/>
      <c r="AR206" s="4"/>
      <c r="AS206" s="4"/>
      <c r="AT206" s="98"/>
      <c r="AU206" s="98"/>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c r="BT206" s="98"/>
      <c r="BU206" s="98"/>
      <c r="BV206" s="98"/>
      <c r="BW206" s="98"/>
      <c r="BX206" s="98"/>
      <c r="BY206" s="98"/>
      <c r="BZ206" s="98"/>
      <c r="CA206" s="98"/>
      <c r="CB206" s="98"/>
      <c r="CC206" s="98"/>
    </row>
    <row r="207" ht="15.75" customHeight="1">
      <c r="A207" s="98"/>
      <c r="B207" s="98"/>
      <c r="C207" s="98"/>
      <c r="D207" s="98"/>
      <c r="E207" s="98"/>
      <c r="F207" s="98"/>
      <c r="G207" s="98"/>
      <c r="H207" s="98"/>
      <c r="I207" s="99"/>
      <c r="J207" s="99"/>
      <c r="K207" s="99"/>
      <c r="L207" s="99"/>
      <c r="M207" s="99"/>
      <c r="N207" s="99"/>
      <c r="O207" s="99"/>
      <c r="P207" s="99"/>
      <c r="Q207" s="99"/>
      <c r="R207" s="99"/>
      <c r="S207" s="99"/>
      <c r="T207" s="99"/>
      <c r="U207" s="99"/>
      <c r="V207" s="99"/>
      <c r="W207" s="99"/>
      <c r="X207" s="99"/>
      <c r="Y207" s="98"/>
      <c r="Z207" s="98"/>
      <c r="AA207" s="98"/>
      <c r="AB207" s="98"/>
      <c r="AC207" s="98"/>
      <c r="AD207" s="98"/>
      <c r="AE207" s="98"/>
      <c r="AF207" s="98"/>
      <c r="AG207" s="98"/>
      <c r="AH207" s="98"/>
      <c r="AI207" s="98"/>
      <c r="AJ207" s="98"/>
      <c r="AK207" s="98"/>
      <c r="AL207" s="98"/>
      <c r="AM207" s="4"/>
      <c r="AN207" s="4"/>
      <c r="AO207" s="4"/>
      <c r="AP207" s="98"/>
      <c r="AQ207" s="4"/>
      <c r="AR207" s="4"/>
      <c r="AS207" s="4"/>
      <c r="AT207" s="98"/>
      <c r="AU207" s="98"/>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c r="BT207" s="98"/>
      <c r="BU207" s="98"/>
      <c r="BV207" s="98"/>
      <c r="BW207" s="98"/>
      <c r="BX207" s="98"/>
      <c r="BY207" s="98"/>
      <c r="BZ207" s="98"/>
      <c r="CA207" s="98"/>
      <c r="CB207" s="98"/>
      <c r="CC207" s="98"/>
    </row>
    <row r="208" ht="15.75" customHeight="1">
      <c r="A208" s="98"/>
      <c r="B208" s="98"/>
      <c r="C208" s="98"/>
      <c r="D208" s="98"/>
      <c r="E208" s="98"/>
      <c r="F208" s="98"/>
      <c r="G208" s="98"/>
      <c r="H208" s="98"/>
      <c r="I208" s="99"/>
      <c r="J208" s="99"/>
      <c r="K208" s="99"/>
      <c r="L208" s="99"/>
      <c r="M208" s="99"/>
      <c r="N208" s="99"/>
      <c r="O208" s="99"/>
      <c r="P208" s="99"/>
      <c r="Q208" s="99"/>
      <c r="R208" s="99"/>
      <c r="S208" s="99"/>
      <c r="T208" s="99"/>
      <c r="U208" s="99"/>
      <c r="V208" s="99"/>
      <c r="W208" s="99"/>
      <c r="X208" s="99"/>
      <c r="Y208" s="98"/>
      <c r="Z208" s="98"/>
      <c r="AA208" s="98"/>
      <c r="AB208" s="98"/>
      <c r="AC208" s="98"/>
      <c r="AD208" s="98"/>
      <c r="AE208" s="98"/>
      <c r="AF208" s="98"/>
      <c r="AG208" s="98"/>
      <c r="AH208" s="98"/>
      <c r="AI208" s="98"/>
      <c r="AJ208" s="98"/>
      <c r="AK208" s="98"/>
      <c r="AL208" s="98"/>
      <c r="AM208" s="4"/>
      <c r="AN208" s="4"/>
      <c r="AO208" s="4"/>
      <c r="AP208" s="98"/>
      <c r="AQ208" s="4"/>
      <c r="AR208" s="4"/>
      <c r="AS208" s="4"/>
      <c r="AT208" s="98"/>
      <c r="AU208" s="98"/>
      <c r="AV208" s="98"/>
      <c r="AW208" s="98"/>
      <c r="AX208" s="98"/>
      <c r="AY208" s="98"/>
      <c r="AZ208" s="98"/>
      <c r="BA208" s="98"/>
      <c r="BB208" s="98"/>
      <c r="BC208" s="98"/>
      <c r="BD208" s="98"/>
      <c r="BE208" s="98"/>
      <c r="BF208" s="98"/>
      <c r="BG208" s="98"/>
      <c r="BH208" s="98"/>
      <c r="BI208" s="98"/>
      <c r="BJ208" s="98"/>
      <c r="BK208" s="98"/>
      <c r="BL208" s="98"/>
      <c r="BM208" s="98"/>
      <c r="BN208" s="98"/>
      <c r="BO208" s="98"/>
      <c r="BP208" s="98"/>
      <c r="BQ208" s="98"/>
      <c r="BR208" s="98"/>
      <c r="BS208" s="98"/>
      <c r="BT208" s="98"/>
      <c r="BU208" s="98"/>
      <c r="BV208" s="98"/>
      <c r="BW208" s="98"/>
      <c r="BX208" s="98"/>
      <c r="BY208" s="98"/>
      <c r="BZ208" s="98"/>
      <c r="CA208" s="98"/>
      <c r="CB208" s="98"/>
      <c r="CC208" s="98"/>
    </row>
    <row r="209" ht="15.75" customHeight="1">
      <c r="A209" s="98"/>
      <c r="B209" s="98"/>
      <c r="C209" s="98"/>
      <c r="D209" s="98"/>
      <c r="E209" s="98"/>
      <c r="F209" s="98"/>
      <c r="G209" s="98"/>
      <c r="H209" s="98"/>
      <c r="I209" s="99"/>
      <c r="J209" s="99"/>
      <c r="K209" s="99"/>
      <c r="L209" s="99"/>
      <c r="M209" s="99"/>
      <c r="N209" s="99"/>
      <c r="O209" s="99"/>
      <c r="P209" s="99"/>
      <c r="Q209" s="99"/>
      <c r="R209" s="99"/>
      <c r="S209" s="99"/>
      <c r="T209" s="99"/>
      <c r="U209" s="99"/>
      <c r="V209" s="99"/>
      <c r="W209" s="99"/>
      <c r="X209" s="99"/>
      <c r="Y209" s="98"/>
      <c r="Z209" s="98"/>
      <c r="AA209" s="98"/>
      <c r="AB209" s="98"/>
      <c r="AC209" s="98"/>
      <c r="AD209" s="98"/>
      <c r="AE209" s="98"/>
      <c r="AF209" s="98"/>
      <c r="AG209" s="98"/>
      <c r="AH209" s="98"/>
      <c r="AI209" s="98"/>
      <c r="AJ209" s="98"/>
      <c r="AK209" s="98"/>
      <c r="AL209" s="98"/>
      <c r="AM209" s="4"/>
      <c r="AN209" s="4"/>
      <c r="AO209" s="4"/>
      <c r="AP209" s="98"/>
      <c r="AQ209" s="4"/>
      <c r="AR209" s="4"/>
      <c r="AS209" s="4"/>
      <c r="AT209" s="98"/>
      <c r="AU209" s="98"/>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c r="BT209" s="98"/>
      <c r="BU209" s="98"/>
      <c r="BV209" s="98"/>
      <c r="BW209" s="98"/>
      <c r="BX209" s="98"/>
      <c r="BY209" s="98"/>
      <c r="BZ209" s="98"/>
      <c r="CA209" s="98"/>
      <c r="CB209" s="98"/>
      <c r="CC209" s="98"/>
    </row>
    <row r="210" ht="15.75" customHeight="1">
      <c r="A210" s="98"/>
      <c r="B210" s="98"/>
      <c r="C210" s="98"/>
      <c r="D210" s="98"/>
      <c r="E210" s="98"/>
      <c r="F210" s="98"/>
      <c r="G210" s="98"/>
      <c r="H210" s="98"/>
      <c r="I210" s="99"/>
      <c r="J210" s="99"/>
      <c r="K210" s="99"/>
      <c r="L210" s="99"/>
      <c r="M210" s="99"/>
      <c r="N210" s="99"/>
      <c r="O210" s="99"/>
      <c r="P210" s="99"/>
      <c r="Q210" s="99"/>
      <c r="R210" s="99"/>
      <c r="S210" s="99"/>
      <c r="T210" s="99"/>
      <c r="U210" s="99"/>
      <c r="V210" s="99"/>
      <c r="W210" s="99"/>
      <c r="X210" s="99"/>
      <c r="Y210" s="98"/>
      <c r="Z210" s="98"/>
      <c r="AA210" s="98"/>
      <c r="AB210" s="98"/>
      <c r="AC210" s="98"/>
      <c r="AD210" s="98"/>
      <c r="AE210" s="98"/>
      <c r="AF210" s="98"/>
      <c r="AG210" s="98"/>
      <c r="AH210" s="98"/>
      <c r="AI210" s="98"/>
      <c r="AJ210" s="98"/>
      <c r="AK210" s="98"/>
      <c r="AL210" s="98"/>
      <c r="AM210" s="4"/>
      <c r="AN210" s="4"/>
      <c r="AO210" s="4"/>
      <c r="AP210" s="98"/>
      <c r="AQ210" s="4"/>
      <c r="AR210" s="4"/>
      <c r="AS210" s="4"/>
      <c r="AT210" s="98"/>
      <c r="AU210" s="98"/>
      <c r="AV210" s="98"/>
      <c r="AW210" s="98"/>
      <c r="AX210" s="98"/>
      <c r="AY210" s="98"/>
      <c r="AZ210" s="98"/>
      <c r="BA210" s="98"/>
      <c r="BB210" s="98"/>
      <c r="BC210" s="98"/>
      <c r="BD210" s="98"/>
      <c r="BE210" s="98"/>
      <c r="BF210" s="98"/>
      <c r="BG210" s="98"/>
      <c r="BH210" s="98"/>
      <c r="BI210" s="98"/>
      <c r="BJ210" s="98"/>
      <c r="BK210" s="98"/>
      <c r="BL210" s="98"/>
      <c r="BM210" s="98"/>
      <c r="BN210" s="98"/>
      <c r="BO210" s="98"/>
      <c r="BP210" s="98"/>
      <c r="BQ210" s="98"/>
      <c r="BR210" s="98"/>
      <c r="BS210" s="98"/>
      <c r="BT210" s="98"/>
      <c r="BU210" s="98"/>
      <c r="BV210" s="98"/>
      <c r="BW210" s="98"/>
      <c r="BX210" s="98"/>
      <c r="BY210" s="98"/>
      <c r="BZ210" s="98"/>
      <c r="CA210" s="98"/>
      <c r="CB210" s="98"/>
      <c r="CC210" s="98"/>
    </row>
    <row r="211" ht="15.75" customHeight="1">
      <c r="A211" s="98"/>
      <c r="B211" s="98"/>
      <c r="C211" s="98"/>
      <c r="D211" s="98"/>
      <c r="E211" s="98"/>
      <c r="F211" s="98"/>
      <c r="G211" s="98"/>
      <c r="H211" s="98"/>
      <c r="I211" s="99"/>
      <c r="J211" s="99"/>
      <c r="K211" s="99"/>
      <c r="L211" s="99"/>
      <c r="M211" s="99"/>
      <c r="N211" s="99"/>
      <c r="O211" s="99"/>
      <c r="P211" s="99"/>
      <c r="Q211" s="99"/>
      <c r="R211" s="99"/>
      <c r="S211" s="99"/>
      <c r="T211" s="99"/>
      <c r="U211" s="99"/>
      <c r="V211" s="99"/>
      <c r="W211" s="99"/>
      <c r="X211" s="99"/>
      <c r="Y211" s="98"/>
      <c r="Z211" s="98"/>
      <c r="AA211" s="98"/>
      <c r="AB211" s="98"/>
      <c r="AC211" s="98"/>
      <c r="AD211" s="98"/>
      <c r="AE211" s="98"/>
      <c r="AF211" s="98"/>
      <c r="AG211" s="98"/>
      <c r="AH211" s="98"/>
      <c r="AI211" s="98"/>
      <c r="AJ211" s="98"/>
      <c r="AK211" s="98"/>
      <c r="AL211" s="98"/>
      <c r="AM211" s="4"/>
      <c r="AN211" s="4"/>
      <c r="AO211" s="4"/>
      <c r="AP211" s="98"/>
      <c r="AQ211" s="4"/>
      <c r="AR211" s="4"/>
      <c r="AS211" s="4"/>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c r="CB211" s="98"/>
      <c r="CC211" s="98"/>
    </row>
    <row r="212" ht="15.75" customHeight="1">
      <c r="A212" s="98"/>
      <c r="B212" s="98"/>
      <c r="C212" s="98"/>
      <c r="D212" s="98"/>
      <c r="E212" s="98"/>
      <c r="F212" s="98"/>
      <c r="G212" s="98"/>
      <c r="H212" s="98"/>
      <c r="I212" s="99"/>
      <c r="J212" s="99"/>
      <c r="K212" s="99"/>
      <c r="L212" s="99"/>
      <c r="M212" s="99"/>
      <c r="N212" s="99"/>
      <c r="O212" s="99"/>
      <c r="P212" s="99"/>
      <c r="Q212" s="99"/>
      <c r="R212" s="99"/>
      <c r="S212" s="99"/>
      <c r="T212" s="99"/>
      <c r="U212" s="99"/>
      <c r="V212" s="99"/>
      <c r="W212" s="99"/>
      <c r="X212" s="99"/>
      <c r="Y212" s="98"/>
      <c r="Z212" s="98"/>
      <c r="AA212" s="98"/>
      <c r="AB212" s="98"/>
      <c r="AC212" s="98"/>
      <c r="AD212" s="98"/>
      <c r="AE212" s="98"/>
      <c r="AF212" s="98"/>
      <c r="AG212" s="98"/>
      <c r="AH212" s="98"/>
      <c r="AI212" s="98"/>
      <c r="AJ212" s="98"/>
      <c r="AK212" s="98"/>
      <c r="AL212" s="98"/>
      <c r="AM212" s="4"/>
      <c r="AN212" s="4"/>
      <c r="AO212" s="4"/>
      <c r="AP212" s="98"/>
      <c r="AQ212" s="4"/>
      <c r="AR212" s="4"/>
      <c r="AS212" s="4"/>
      <c r="AT212" s="98"/>
      <c r="AU212" s="98"/>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c r="BT212" s="98"/>
      <c r="BU212" s="98"/>
      <c r="BV212" s="98"/>
      <c r="BW212" s="98"/>
      <c r="BX212" s="98"/>
      <c r="BY212" s="98"/>
      <c r="BZ212" s="98"/>
      <c r="CA212" s="98"/>
      <c r="CB212" s="98"/>
      <c r="CC212" s="98"/>
    </row>
    <row r="213" ht="15.75" customHeight="1">
      <c r="A213" s="98"/>
      <c r="B213" s="98"/>
      <c r="C213" s="98"/>
      <c r="D213" s="98"/>
      <c r="E213" s="98"/>
      <c r="F213" s="98"/>
      <c r="G213" s="98"/>
      <c r="H213" s="98"/>
      <c r="I213" s="99"/>
      <c r="J213" s="99"/>
      <c r="K213" s="99"/>
      <c r="L213" s="99"/>
      <c r="M213" s="99"/>
      <c r="N213" s="99"/>
      <c r="O213" s="99"/>
      <c r="P213" s="99"/>
      <c r="Q213" s="99"/>
      <c r="R213" s="99"/>
      <c r="S213" s="99"/>
      <c r="T213" s="99"/>
      <c r="U213" s="99"/>
      <c r="V213" s="99"/>
      <c r="W213" s="99"/>
      <c r="X213" s="99"/>
      <c r="Y213" s="98"/>
      <c r="Z213" s="98"/>
      <c r="AA213" s="98"/>
      <c r="AB213" s="98"/>
      <c r="AC213" s="98"/>
      <c r="AD213" s="98"/>
      <c r="AE213" s="98"/>
      <c r="AF213" s="98"/>
      <c r="AG213" s="98"/>
      <c r="AH213" s="98"/>
      <c r="AI213" s="98"/>
      <c r="AJ213" s="98"/>
      <c r="AK213" s="98"/>
      <c r="AL213" s="98"/>
      <c r="AM213" s="4"/>
      <c r="AN213" s="4"/>
      <c r="AO213" s="4"/>
      <c r="AP213" s="98"/>
      <c r="AQ213" s="4"/>
      <c r="AR213" s="4"/>
      <c r="AS213" s="4"/>
      <c r="AT213" s="98"/>
      <c r="AU213" s="98"/>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c r="BT213" s="98"/>
      <c r="BU213" s="98"/>
      <c r="BV213" s="98"/>
      <c r="BW213" s="98"/>
      <c r="BX213" s="98"/>
      <c r="BY213" s="98"/>
      <c r="BZ213" s="98"/>
      <c r="CA213" s="98"/>
      <c r="CB213" s="98"/>
      <c r="CC213" s="98"/>
    </row>
    <row r="214" ht="15.75" customHeight="1">
      <c r="A214" s="98"/>
      <c r="B214" s="98"/>
      <c r="C214" s="98"/>
      <c r="D214" s="98"/>
      <c r="E214" s="98"/>
      <c r="F214" s="98"/>
      <c r="G214" s="98"/>
      <c r="H214" s="98"/>
      <c r="I214" s="99"/>
      <c r="J214" s="99"/>
      <c r="K214" s="99"/>
      <c r="L214" s="99"/>
      <c r="M214" s="99"/>
      <c r="N214" s="99"/>
      <c r="O214" s="99"/>
      <c r="P214" s="99"/>
      <c r="Q214" s="99"/>
      <c r="R214" s="99"/>
      <c r="S214" s="99"/>
      <c r="T214" s="99"/>
      <c r="U214" s="99"/>
      <c r="V214" s="99"/>
      <c r="W214" s="99"/>
      <c r="X214" s="99"/>
      <c r="Y214" s="98"/>
      <c r="Z214" s="98"/>
      <c r="AA214" s="98"/>
      <c r="AB214" s="98"/>
      <c r="AC214" s="98"/>
      <c r="AD214" s="98"/>
      <c r="AE214" s="98"/>
      <c r="AF214" s="98"/>
      <c r="AG214" s="98"/>
      <c r="AH214" s="98"/>
      <c r="AI214" s="98"/>
      <c r="AJ214" s="98"/>
      <c r="AK214" s="98"/>
      <c r="AL214" s="98"/>
      <c r="AM214" s="4"/>
      <c r="AN214" s="4"/>
      <c r="AO214" s="4"/>
      <c r="AP214" s="98"/>
      <c r="AQ214" s="4"/>
      <c r="AR214" s="4"/>
      <c r="AS214" s="4"/>
      <c r="AT214" s="98"/>
      <c r="AU214" s="98"/>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c r="BT214" s="98"/>
      <c r="BU214" s="98"/>
      <c r="BV214" s="98"/>
      <c r="BW214" s="98"/>
      <c r="BX214" s="98"/>
      <c r="BY214" s="98"/>
      <c r="BZ214" s="98"/>
      <c r="CA214" s="98"/>
      <c r="CB214" s="98"/>
      <c r="CC214" s="98"/>
    </row>
    <row r="215" ht="15.75" customHeight="1">
      <c r="A215" s="98"/>
      <c r="B215" s="98"/>
      <c r="C215" s="98"/>
      <c r="D215" s="98"/>
      <c r="E215" s="98"/>
      <c r="F215" s="98"/>
      <c r="G215" s="98"/>
      <c r="H215" s="98"/>
      <c r="I215" s="99"/>
      <c r="J215" s="99"/>
      <c r="K215" s="99"/>
      <c r="L215" s="99"/>
      <c r="M215" s="99"/>
      <c r="N215" s="99"/>
      <c r="O215" s="99"/>
      <c r="P215" s="99"/>
      <c r="Q215" s="99"/>
      <c r="R215" s="99"/>
      <c r="S215" s="99"/>
      <c r="T215" s="99"/>
      <c r="U215" s="99"/>
      <c r="V215" s="99"/>
      <c r="W215" s="99"/>
      <c r="X215" s="99"/>
      <c r="Y215" s="98"/>
      <c r="Z215" s="98"/>
      <c r="AA215" s="98"/>
      <c r="AB215" s="98"/>
      <c r="AC215" s="98"/>
      <c r="AD215" s="98"/>
      <c r="AE215" s="98"/>
      <c r="AF215" s="98"/>
      <c r="AG215" s="98"/>
      <c r="AH215" s="98"/>
      <c r="AI215" s="98"/>
      <c r="AJ215" s="98"/>
      <c r="AK215" s="98"/>
      <c r="AL215" s="98"/>
      <c r="AM215" s="4"/>
      <c r="AN215" s="4"/>
      <c r="AO215" s="4"/>
      <c r="AP215" s="98"/>
      <c r="AQ215" s="4"/>
      <c r="AR215" s="4"/>
      <c r="AS215" s="4"/>
      <c r="AT215" s="98"/>
      <c r="AU215" s="98"/>
      <c r="AV215" s="98"/>
      <c r="AW215" s="98"/>
      <c r="AX215" s="98"/>
      <c r="AY215" s="98"/>
      <c r="AZ215" s="98"/>
      <c r="BA215" s="98"/>
      <c r="BB215" s="98"/>
      <c r="BC215" s="98"/>
      <c r="BD215" s="98"/>
      <c r="BE215" s="98"/>
      <c r="BF215" s="98"/>
      <c r="BG215" s="98"/>
      <c r="BH215" s="98"/>
      <c r="BI215" s="98"/>
      <c r="BJ215" s="98"/>
      <c r="BK215" s="98"/>
      <c r="BL215" s="98"/>
      <c r="BM215" s="98"/>
      <c r="BN215" s="98"/>
      <c r="BO215" s="98"/>
      <c r="BP215" s="98"/>
      <c r="BQ215" s="98"/>
      <c r="BR215" s="98"/>
      <c r="BS215" s="98"/>
      <c r="BT215" s="98"/>
      <c r="BU215" s="98"/>
      <c r="BV215" s="98"/>
      <c r="BW215" s="98"/>
      <c r="BX215" s="98"/>
      <c r="BY215" s="98"/>
      <c r="BZ215" s="98"/>
      <c r="CA215" s="98"/>
      <c r="CB215" s="98"/>
      <c r="CC215" s="98"/>
    </row>
    <row r="216" ht="15.75" customHeight="1">
      <c r="A216" s="98"/>
      <c r="B216" s="98"/>
      <c r="C216" s="98"/>
      <c r="D216" s="98"/>
      <c r="E216" s="98"/>
      <c r="F216" s="98"/>
      <c r="G216" s="98"/>
      <c r="H216" s="98"/>
      <c r="I216" s="99"/>
      <c r="J216" s="99"/>
      <c r="K216" s="99"/>
      <c r="L216" s="99"/>
      <c r="M216" s="99"/>
      <c r="N216" s="99"/>
      <c r="O216" s="99"/>
      <c r="P216" s="99"/>
      <c r="Q216" s="99"/>
      <c r="R216" s="99"/>
      <c r="S216" s="99"/>
      <c r="T216" s="99"/>
      <c r="U216" s="99"/>
      <c r="V216" s="99"/>
      <c r="W216" s="99"/>
      <c r="X216" s="99"/>
      <c r="Y216" s="98"/>
      <c r="Z216" s="98"/>
      <c r="AA216" s="98"/>
      <c r="AB216" s="98"/>
      <c r="AC216" s="98"/>
      <c r="AD216" s="98"/>
      <c r="AE216" s="98"/>
      <c r="AF216" s="98"/>
      <c r="AG216" s="98"/>
      <c r="AH216" s="98"/>
      <c r="AI216" s="98"/>
      <c r="AJ216" s="98"/>
      <c r="AK216" s="98"/>
      <c r="AL216" s="98"/>
      <c r="AM216" s="4"/>
      <c r="AN216" s="4"/>
      <c r="AO216" s="4"/>
      <c r="AP216" s="98"/>
      <c r="AQ216" s="4"/>
      <c r="AR216" s="4"/>
      <c r="AS216" s="4"/>
      <c r="AT216" s="98"/>
      <c r="AU216" s="98"/>
      <c r="AV216" s="98"/>
      <c r="AW216" s="98"/>
      <c r="AX216" s="98"/>
      <c r="AY216" s="98"/>
      <c r="AZ216" s="98"/>
      <c r="BA216" s="98"/>
      <c r="BB216" s="98"/>
      <c r="BC216" s="98"/>
      <c r="BD216" s="98"/>
      <c r="BE216" s="98"/>
      <c r="BF216" s="98"/>
      <c r="BG216" s="98"/>
      <c r="BH216" s="98"/>
      <c r="BI216" s="98"/>
      <c r="BJ216" s="98"/>
      <c r="BK216" s="98"/>
      <c r="BL216" s="98"/>
      <c r="BM216" s="98"/>
      <c r="BN216" s="98"/>
      <c r="BO216" s="98"/>
      <c r="BP216" s="98"/>
      <c r="BQ216" s="98"/>
      <c r="BR216" s="98"/>
      <c r="BS216" s="98"/>
      <c r="BT216" s="98"/>
      <c r="BU216" s="98"/>
      <c r="BV216" s="98"/>
      <c r="BW216" s="98"/>
      <c r="BX216" s="98"/>
      <c r="BY216" s="98"/>
      <c r="BZ216" s="98"/>
      <c r="CA216" s="98"/>
      <c r="CB216" s="98"/>
      <c r="CC216" s="98"/>
    </row>
    <row r="217" ht="15.75" customHeight="1">
      <c r="A217" s="98"/>
      <c r="B217" s="98"/>
      <c r="C217" s="98"/>
      <c r="D217" s="98"/>
      <c r="E217" s="98"/>
      <c r="F217" s="98"/>
      <c r="G217" s="98"/>
      <c r="H217" s="98"/>
      <c r="I217" s="99"/>
      <c r="J217" s="99"/>
      <c r="K217" s="99"/>
      <c r="L217" s="99"/>
      <c r="M217" s="99"/>
      <c r="N217" s="99"/>
      <c r="O217" s="99"/>
      <c r="P217" s="99"/>
      <c r="Q217" s="99"/>
      <c r="R217" s="99"/>
      <c r="S217" s="99"/>
      <c r="T217" s="99"/>
      <c r="U217" s="99"/>
      <c r="V217" s="99"/>
      <c r="W217" s="99"/>
      <c r="X217" s="99"/>
      <c r="Y217" s="98"/>
      <c r="Z217" s="98"/>
      <c r="AA217" s="98"/>
      <c r="AB217" s="98"/>
      <c r="AC217" s="98"/>
      <c r="AD217" s="98"/>
      <c r="AE217" s="98"/>
      <c r="AF217" s="98"/>
      <c r="AG217" s="98"/>
      <c r="AH217" s="98"/>
      <c r="AI217" s="98"/>
      <c r="AJ217" s="98"/>
      <c r="AK217" s="98"/>
      <c r="AL217" s="98"/>
      <c r="AM217" s="4"/>
      <c r="AN217" s="4"/>
      <c r="AO217" s="4"/>
      <c r="AP217" s="98"/>
      <c r="AQ217" s="4"/>
      <c r="AR217" s="4"/>
      <c r="AS217" s="4"/>
      <c r="AT217" s="98"/>
      <c r="AU217" s="98"/>
      <c r="AV217" s="98"/>
      <c r="AW217" s="98"/>
      <c r="AX217" s="98"/>
      <c r="AY217" s="98"/>
      <c r="AZ217" s="98"/>
      <c r="BA217" s="98"/>
      <c r="BB217" s="98"/>
      <c r="BC217" s="98"/>
      <c r="BD217" s="98"/>
      <c r="BE217" s="98"/>
      <c r="BF217" s="98"/>
      <c r="BG217" s="98"/>
      <c r="BH217" s="98"/>
      <c r="BI217" s="98"/>
      <c r="BJ217" s="98"/>
      <c r="BK217" s="98"/>
      <c r="BL217" s="98"/>
      <c r="BM217" s="98"/>
      <c r="BN217" s="98"/>
      <c r="BO217" s="98"/>
      <c r="BP217" s="98"/>
      <c r="BQ217" s="98"/>
      <c r="BR217" s="98"/>
      <c r="BS217" s="98"/>
      <c r="BT217" s="98"/>
      <c r="BU217" s="98"/>
      <c r="BV217" s="98"/>
      <c r="BW217" s="98"/>
      <c r="BX217" s="98"/>
      <c r="BY217" s="98"/>
      <c r="BZ217" s="98"/>
      <c r="CA217" s="98"/>
      <c r="CB217" s="98"/>
      <c r="CC217" s="98"/>
    </row>
    <row r="218" ht="15.75" customHeight="1">
      <c r="A218" s="98"/>
      <c r="B218" s="98"/>
      <c r="C218" s="98"/>
      <c r="D218" s="98"/>
      <c r="E218" s="98"/>
      <c r="F218" s="98"/>
      <c r="G218" s="98"/>
      <c r="H218" s="98"/>
      <c r="I218" s="99"/>
      <c r="J218" s="99"/>
      <c r="K218" s="99"/>
      <c r="L218" s="99"/>
      <c r="M218" s="99"/>
      <c r="N218" s="99"/>
      <c r="O218" s="99"/>
      <c r="P218" s="99"/>
      <c r="Q218" s="99"/>
      <c r="R218" s="99"/>
      <c r="S218" s="99"/>
      <c r="T218" s="99"/>
      <c r="U218" s="99"/>
      <c r="V218" s="99"/>
      <c r="W218" s="99"/>
      <c r="X218" s="99"/>
      <c r="Y218" s="98"/>
      <c r="Z218" s="98"/>
      <c r="AA218" s="98"/>
      <c r="AB218" s="98"/>
      <c r="AC218" s="98"/>
      <c r="AD218" s="98"/>
      <c r="AE218" s="98"/>
      <c r="AF218" s="98"/>
      <c r="AG218" s="98"/>
      <c r="AH218" s="98"/>
      <c r="AI218" s="98"/>
      <c r="AJ218" s="98"/>
      <c r="AK218" s="98"/>
      <c r="AL218" s="98"/>
      <c r="AM218" s="4"/>
      <c r="AN218" s="4"/>
      <c r="AO218" s="4"/>
      <c r="AP218" s="98"/>
      <c r="AQ218" s="4"/>
      <c r="AR218" s="4"/>
      <c r="AS218" s="4"/>
      <c r="AT218" s="98"/>
      <c r="AU218" s="98"/>
      <c r="AV218" s="98"/>
      <c r="AW218" s="98"/>
      <c r="AX218" s="98"/>
      <c r="AY218" s="98"/>
      <c r="AZ218" s="98"/>
      <c r="BA218" s="98"/>
      <c r="BB218" s="98"/>
      <c r="BC218" s="98"/>
      <c r="BD218" s="98"/>
      <c r="BE218" s="98"/>
      <c r="BF218" s="98"/>
      <c r="BG218" s="98"/>
      <c r="BH218" s="98"/>
      <c r="BI218" s="98"/>
      <c r="BJ218" s="98"/>
      <c r="BK218" s="98"/>
      <c r="BL218" s="98"/>
      <c r="BM218" s="98"/>
      <c r="BN218" s="98"/>
      <c r="BO218" s="98"/>
      <c r="BP218" s="98"/>
      <c r="BQ218" s="98"/>
      <c r="BR218" s="98"/>
      <c r="BS218" s="98"/>
      <c r="BT218" s="98"/>
      <c r="BU218" s="98"/>
      <c r="BV218" s="98"/>
      <c r="BW218" s="98"/>
      <c r="BX218" s="98"/>
      <c r="BY218" s="98"/>
      <c r="BZ218" s="98"/>
      <c r="CA218" s="98"/>
      <c r="CB218" s="98"/>
      <c r="CC218" s="98"/>
    </row>
    <row r="219" ht="15.75" customHeight="1">
      <c r="A219" s="98"/>
      <c r="B219" s="98"/>
      <c r="C219" s="98"/>
      <c r="D219" s="98"/>
      <c r="E219" s="98"/>
      <c r="F219" s="98"/>
      <c r="G219" s="98"/>
      <c r="H219" s="98"/>
      <c r="I219" s="99"/>
      <c r="J219" s="99"/>
      <c r="K219" s="99"/>
      <c r="L219" s="99"/>
      <c r="M219" s="99"/>
      <c r="N219" s="99"/>
      <c r="O219" s="99"/>
      <c r="P219" s="99"/>
      <c r="Q219" s="99"/>
      <c r="R219" s="99"/>
      <c r="S219" s="99"/>
      <c r="T219" s="99"/>
      <c r="U219" s="99"/>
      <c r="V219" s="99"/>
      <c r="W219" s="99"/>
      <c r="X219" s="99"/>
      <c r="Y219" s="98"/>
      <c r="Z219" s="98"/>
      <c r="AA219" s="98"/>
      <c r="AB219" s="98"/>
      <c r="AC219" s="98"/>
      <c r="AD219" s="98"/>
      <c r="AE219" s="98"/>
      <c r="AF219" s="98"/>
      <c r="AG219" s="98"/>
      <c r="AH219" s="98"/>
      <c r="AI219" s="98"/>
      <c r="AJ219" s="98"/>
      <c r="AK219" s="98"/>
      <c r="AL219" s="98"/>
      <c r="AM219" s="4"/>
      <c r="AN219" s="4"/>
      <c r="AO219" s="4"/>
      <c r="AP219" s="98"/>
      <c r="AQ219" s="4"/>
      <c r="AR219" s="4"/>
      <c r="AS219" s="4"/>
      <c r="AT219" s="98"/>
      <c r="AU219" s="98"/>
      <c r="AV219" s="98"/>
      <c r="AW219" s="98"/>
      <c r="AX219" s="98"/>
      <c r="AY219" s="98"/>
      <c r="AZ219" s="98"/>
      <c r="BA219" s="98"/>
      <c r="BB219" s="98"/>
      <c r="BC219" s="98"/>
      <c r="BD219" s="98"/>
      <c r="BE219" s="98"/>
      <c r="BF219" s="98"/>
      <c r="BG219" s="98"/>
      <c r="BH219" s="98"/>
      <c r="BI219" s="98"/>
      <c r="BJ219" s="98"/>
      <c r="BK219" s="98"/>
      <c r="BL219" s="98"/>
      <c r="BM219" s="98"/>
      <c r="BN219" s="98"/>
      <c r="BO219" s="98"/>
      <c r="BP219" s="98"/>
      <c r="BQ219" s="98"/>
      <c r="BR219" s="98"/>
      <c r="BS219" s="98"/>
      <c r="BT219" s="98"/>
      <c r="BU219" s="98"/>
      <c r="BV219" s="98"/>
      <c r="BW219" s="98"/>
      <c r="BX219" s="98"/>
      <c r="BY219" s="98"/>
      <c r="BZ219" s="98"/>
      <c r="CA219" s="98"/>
      <c r="CB219" s="98"/>
      <c r="CC219" s="98"/>
    </row>
    <row r="220" ht="15.75" customHeight="1">
      <c r="A220" s="98"/>
      <c r="B220" s="98"/>
      <c r="C220" s="98"/>
      <c r="D220" s="98"/>
      <c r="E220" s="98"/>
      <c r="F220" s="98"/>
      <c r="G220" s="98"/>
      <c r="H220" s="98"/>
      <c r="I220" s="99"/>
      <c r="J220" s="99"/>
      <c r="K220" s="99"/>
      <c r="L220" s="99"/>
      <c r="M220" s="99"/>
      <c r="N220" s="99"/>
      <c r="O220" s="99"/>
      <c r="P220" s="99"/>
      <c r="Q220" s="99"/>
      <c r="R220" s="99"/>
      <c r="S220" s="99"/>
      <c r="T220" s="99"/>
      <c r="U220" s="99"/>
      <c r="V220" s="99"/>
      <c r="W220" s="99"/>
      <c r="X220" s="99"/>
      <c r="Y220" s="98"/>
      <c r="Z220" s="98"/>
      <c r="AA220" s="98"/>
      <c r="AB220" s="98"/>
      <c r="AC220" s="98"/>
      <c r="AD220" s="98"/>
      <c r="AE220" s="98"/>
      <c r="AF220" s="98"/>
      <c r="AG220" s="98"/>
      <c r="AH220" s="98"/>
      <c r="AI220" s="98"/>
      <c r="AJ220" s="98"/>
      <c r="AK220" s="98"/>
      <c r="AL220" s="98"/>
      <c r="AM220" s="4"/>
      <c r="AN220" s="4"/>
      <c r="AO220" s="4"/>
      <c r="AP220" s="98"/>
      <c r="AQ220" s="4"/>
      <c r="AR220" s="4"/>
      <c r="AS220" s="4"/>
      <c r="AT220" s="98"/>
      <c r="AU220" s="98"/>
      <c r="AV220" s="98"/>
      <c r="AW220" s="98"/>
      <c r="AX220" s="98"/>
      <c r="AY220" s="98"/>
      <c r="AZ220" s="98"/>
      <c r="BA220" s="98"/>
      <c r="BB220" s="98"/>
      <c r="BC220" s="98"/>
      <c r="BD220" s="98"/>
      <c r="BE220" s="98"/>
      <c r="BF220" s="98"/>
      <c r="BG220" s="98"/>
      <c r="BH220" s="98"/>
      <c r="BI220" s="98"/>
      <c r="BJ220" s="98"/>
      <c r="BK220" s="98"/>
      <c r="BL220" s="98"/>
      <c r="BM220" s="98"/>
      <c r="BN220" s="98"/>
      <c r="BO220" s="98"/>
      <c r="BP220" s="98"/>
      <c r="BQ220" s="98"/>
      <c r="BR220" s="98"/>
      <c r="BS220" s="98"/>
      <c r="BT220" s="98"/>
      <c r="BU220" s="98"/>
      <c r="BV220" s="98"/>
      <c r="BW220" s="98"/>
      <c r="BX220" s="98"/>
      <c r="BY220" s="98"/>
      <c r="BZ220" s="98"/>
      <c r="CA220" s="98"/>
      <c r="CB220" s="98"/>
      <c r="CC220" s="98"/>
    </row>
    <row r="221" ht="15.75" customHeight="1">
      <c r="A221" s="98"/>
      <c r="B221" s="98"/>
      <c r="C221" s="98"/>
      <c r="D221" s="98"/>
      <c r="E221" s="98"/>
      <c r="F221" s="98"/>
      <c r="G221" s="98"/>
      <c r="H221" s="98"/>
      <c r="I221" s="99"/>
      <c r="J221" s="99"/>
      <c r="K221" s="99"/>
      <c r="L221" s="99"/>
      <c r="M221" s="99"/>
      <c r="N221" s="99"/>
      <c r="O221" s="99"/>
      <c r="P221" s="99"/>
      <c r="Q221" s="99"/>
      <c r="R221" s="99"/>
      <c r="S221" s="99"/>
      <c r="T221" s="99"/>
      <c r="U221" s="99"/>
      <c r="V221" s="99"/>
      <c r="W221" s="99"/>
      <c r="X221" s="99"/>
      <c r="Y221" s="98"/>
      <c r="Z221" s="98"/>
      <c r="AA221" s="98"/>
      <c r="AB221" s="98"/>
      <c r="AC221" s="98"/>
      <c r="AD221" s="98"/>
      <c r="AE221" s="98"/>
      <c r="AF221" s="98"/>
      <c r="AG221" s="98"/>
      <c r="AH221" s="98"/>
      <c r="AI221" s="98"/>
      <c r="AJ221" s="98"/>
      <c r="AK221" s="98"/>
      <c r="AL221" s="98"/>
      <c r="AM221" s="4"/>
      <c r="AN221" s="4"/>
      <c r="AO221" s="4"/>
      <c r="AP221" s="98"/>
      <c r="AQ221" s="4"/>
      <c r="AR221" s="4"/>
      <c r="AS221" s="4"/>
      <c r="AT221" s="98"/>
      <c r="AU221" s="98"/>
      <c r="AV221" s="98"/>
      <c r="AW221" s="98"/>
      <c r="AX221" s="98"/>
      <c r="AY221" s="98"/>
      <c r="AZ221" s="98"/>
      <c r="BA221" s="98"/>
      <c r="BB221" s="98"/>
      <c r="BC221" s="98"/>
      <c r="BD221" s="98"/>
      <c r="BE221" s="98"/>
      <c r="BF221" s="98"/>
      <c r="BG221" s="98"/>
      <c r="BH221" s="98"/>
      <c r="BI221" s="98"/>
      <c r="BJ221" s="98"/>
      <c r="BK221" s="98"/>
      <c r="BL221" s="98"/>
      <c r="BM221" s="98"/>
      <c r="BN221" s="98"/>
      <c r="BO221" s="98"/>
      <c r="BP221" s="98"/>
      <c r="BQ221" s="98"/>
      <c r="BR221" s="98"/>
      <c r="BS221" s="98"/>
      <c r="BT221" s="98"/>
      <c r="BU221" s="98"/>
      <c r="BV221" s="98"/>
      <c r="BW221" s="98"/>
      <c r="BX221" s="98"/>
      <c r="BY221" s="98"/>
      <c r="BZ221" s="98"/>
      <c r="CA221" s="98"/>
      <c r="CB221" s="98"/>
      <c r="CC221" s="98"/>
    </row>
    <row r="222" ht="15.75" customHeight="1">
      <c r="A222" s="98"/>
      <c r="B222" s="98"/>
      <c r="C222" s="98"/>
      <c r="D222" s="98"/>
      <c r="E222" s="98"/>
      <c r="F222" s="98"/>
      <c r="G222" s="98"/>
      <c r="H222" s="98"/>
      <c r="I222" s="99"/>
      <c r="J222" s="99"/>
      <c r="K222" s="99"/>
      <c r="L222" s="99"/>
      <c r="M222" s="99"/>
      <c r="N222" s="99"/>
      <c r="O222" s="99"/>
      <c r="P222" s="99"/>
      <c r="Q222" s="99"/>
      <c r="R222" s="99"/>
      <c r="S222" s="99"/>
      <c r="T222" s="99"/>
      <c r="U222" s="99"/>
      <c r="V222" s="99"/>
      <c r="W222" s="99"/>
      <c r="X222" s="99"/>
      <c r="Y222" s="98"/>
      <c r="Z222" s="98"/>
      <c r="AA222" s="98"/>
      <c r="AB222" s="98"/>
      <c r="AC222" s="98"/>
      <c r="AD222" s="98"/>
      <c r="AE222" s="98"/>
      <c r="AF222" s="98"/>
      <c r="AG222" s="98"/>
      <c r="AH222" s="98"/>
      <c r="AI222" s="98"/>
      <c r="AJ222" s="98"/>
      <c r="AK222" s="98"/>
      <c r="AL222" s="98"/>
      <c r="AM222" s="4"/>
      <c r="AN222" s="4"/>
      <c r="AO222" s="4"/>
      <c r="AP222" s="98"/>
      <c r="AQ222" s="4"/>
      <c r="AR222" s="4"/>
      <c r="AS222" s="4"/>
      <c r="AT222" s="98"/>
      <c r="AU222" s="98"/>
      <c r="AV222" s="98"/>
      <c r="AW222" s="98"/>
      <c r="AX222" s="98"/>
      <c r="AY222" s="98"/>
      <c r="AZ222" s="98"/>
      <c r="BA222" s="98"/>
      <c r="BB222" s="98"/>
      <c r="BC222" s="98"/>
      <c r="BD222" s="98"/>
      <c r="BE222" s="98"/>
      <c r="BF222" s="98"/>
      <c r="BG222" s="98"/>
      <c r="BH222" s="98"/>
      <c r="BI222" s="98"/>
      <c r="BJ222" s="98"/>
      <c r="BK222" s="98"/>
      <c r="BL222" s="98"/>
      <c r="BM222" s="98"/>
      <c r="BN222" s="98"/>
      <c r="BO222" s="98"/>
      <c r="BP222" s="98"/>
      <c r="BQ222" s="98"/>
      <c r="BR222" s="98"/>
      <c r="BS222" s="98"/>
      <c r="BT222" s="98"/>
      <c r="BU222" s="98"/>
      <c r="BV222" s="98"/>
      <c r="BW222" s="98"/>
      <c r="BX222" s="98"/>
      <c r="BY222" s="98"/>
      <c r="BZ222" s="98"/>
      <c r="CA222" s="98"/>
      <c r="CB222" s="98"/>
      <c r="CC222" s="98"/>
    </row>
    <row r="223" ht="15.75" customHeight="1">
      <c r="A223" s="98"/>
      <c r="B223" s="98"/>
      <c r="C223" s="98"/>
      <c r="D223" s="98"/>
      <c r="E223" s="98"/>
      <c r="F223" s="98"/>
      <c r="G223" s="98"/>
      <c r="H223" s="98"/>
      <c r="I223" s="99"/>
      <c r="J223" s="99"/>
      <c r="K223" s="99"/>
      <c r="L223" s="99"/>
      <c r="M223" s="99"/>
      <c r="N223" s="99"/>
      <c r="O223" s="99"/>
      <c r="P223" s="99"/>
      <c r="Q223" s="99"/>
      <c r="R223" s="99"/>
      <c r="S223" s="99"/>
      <c r="T223" s="99"/>
      <c r="U223" s="99"/>
      <c r="V223" s="99"/>
      <c r="W223" s="99"/>
      <c r="X223" s="99"/>
      <c r="Y223" s="98"/>
      <c r="Z223" s="98"/>
      <c r="AA223" s="98"/>
      <c r="AB223" s="98"/>
      <c r="AC223" s="98"/>
      <c r="AD223" s="98"/>
      <c r="AE223" s="98"/>
      <c r="AF223" s="98"/>
      <c r="AG223" s="98"/>
      <c r="AH223" s="98"/>
      <c r="AI223" s="98"/>
      <c r="AJ223" s="98"/>
      <c r="AK223" s="98"/>
      <c r="AL223" s="98"/>
      <c r="AM223" s="4"/>
      <c r="AN223" s="4"/>
      <c r="AO223" s="4"/>
      <c r="AP223" s="98"/>
      <c r="AQ223" s="4"/>
      <c r="AR223" s="4"/>
      <c r="AS223" s="4"/>
      <c r="AT223" s="98"/>
      <c r="AU223" s="98"/>
      <c r="AV223" s="98"/>
      <c r="AW223" s="98"/>
      <c r="AX223" s="98"/>
      <c r="AY223" s="98"/>
      <c r="AZ223" s="98"/>
      <c r="BA223" s="98"/>
      <c r="BB223" s="98"/>
      <c r="BC223" s="98"/>
      <c r="BD223" s="98"/>
      <c r="BE223" s="98"/>
      <c r="BF223" s="98"/>
      <c r="BG223" s="98"/>
      <c r="BH223" s="98"/>
      <c r="BI223" s="98"/>
      <c r="BJ223" s="98"/>
      <c r="BK223" s="98"/>
      <c r="BL223" s="98"/>
      <c r="BM223" s="98"/>
      <c r="BN223" s="98"/>
      <c r="BO223" s="98"/>
      <c r="BP223" s="98"/>
      <c r="BQ223" s="98"/>
      <c r="BR223" s="98"/>
      <c r="BS223" s="98"/>
      <c r="BT223" s="98"/>
      <c r="BU223" s="98"/>
      <c r="BV223" s="98"/>
      <c r="BW223" s="98"/>
      <c r="BX223" s="98"/>
      <c r="BY223" s="98"/>
      <c r="BZ223" s="98"/>
      <c r="CA223" s="98"/>
      <c r="CB223" s="98"/>
      <c r="CC223" s="98"/>
    </row>
    <row r="224" ht="15.75" customHeight="1">
      <c r="A224" s="98"/>
      <c r="B224" s="98"/>
      <c r="C224" s="98"/>
      <c r="D224" s="98"/>
      <c r="E224" s="98"/>
      <c r="F224" s="98"/>
      <c r="G224" s="98"/>
      <c r="H224" s="98"/>
      <c r="I224" s="99"/>
      <c r="J224" s="99"/>
      <c r="K224" s="99"/>
      <c r="L224" s="99"/>
      <c r="M224" s="99"/>
      <c r="N224" s="99"/>
      <c r="O224" s="99"/>
      <c r="P224" s="99"/>
      <c r="Q224" s="99"/>
      <c r="R224" s="99"/>
      <c r="S224" s="99"/>
      <c r="T224" s="99"/>
      <c r="U224" s="99"/>
      <c r="V224" s="99"/>
      <c r="W224" s="99"/>
      <c r="X224" s="99"/>
      <c r="Y224" s="98"/>
      <c r="Z224" s="98"/>
      <c r="AA224" s="98"/>
      <c r="AB224" s="98"/>
      <c r="AC224" s="98"/>
      <c r="AD224" s="98"/>
      <c r="AE224" s="98"/>
      <c r="AF224" s="98"/>
      <c r="AG224" s="98"/>
      <c r="AH224" s="98"/>
      <c r="AI224" s="98"/>
      <c r="AJ224" s="98"/>
      <c r="AK224" s="98"/>
      <c r="AL224" s="98"/>
      <c r="AM224" s="4"/>
      <c r="AN224" s="4"/>
      <c r="AO224" s="4"/>
      <c r="AP224" s="98"/>
      <c r="AQ224" s="4"/>
      <c r="AR224" s="4"/>
      <c r="AS224" s="4"/>
      <c r="AT224" s="98"/>
      <c r="AU224" s="98"/>
      <c r="AV224" s="98"/>
      <c r="AW224" s="98"/>
      <c r="AX224" s="98"/>
      <c r="AY224" s="98"/>
      <c r="AZ224" s="98"/>
      <c r="BA224" s="98"/>
      <c r="BB224" s="98"/>
      <c r="BC224" s="98"/>
      <c r="BD224" s="98"/>
      <c r="BE224" s="98"/>
      <c r="BF224" s="98"/>
      <c r="BG224" s="98"/>
      <c r="BH224" s="98"/>
      <c r="BI224" s="98"/>
      <c r="BJ224" s="98"/>
      <c r="BK224" s="98"/>
      <c r="BL224" s="98"/>
      <c r="BM224" s="98"/>
      <c r="BN224" s="98"/>
      <c r="BO224" s="98"/>
      <c r="BP224" s="98"/>
      <c r="BQ224" s="98"/>
      <c r="BR224" s="98"/>
      <c r="BS224" s="98"/>
      <c r="BT224" s="98"/>
      <c r="BU224" s="98"/>
      <c r="BV224" s="98"/>
      <c r="BW224" s="98"/>
      <c r="BX224" s="98"/>
      <c r="BY224" s="98"/>
      <c r="BZ224" s="98"/>
      <c r="CA224" s="98"/>
      <c r="CB224" s="98"/>
      <c r="CC224" s="98"/>
    </row>
    <row r="225" ht="15.75" customHeight="1">
      <c r="A225" s="98"/>
      <c r="B225" s="98"/>
      <c r="C225" s="98"/>
      <c r="D225" s="98"/>
      <c r="E225" s="98"/>
      <c r="F225" s="98"/>
      <c r="G225" s="98"/>
      <c r="H225" s="98"/>
      <c r="I225" s="99"/>
      <c r="J225" s="99"/>
      <c r="K225" s="99"/>
      <c r="L225" s="99"/>
      <c r="M225" s="99"/>
      <c r="N225" s="99"/>
      <c r="O225" s="99"/>
      <c r="P225" s="99"/>
      <c r="Q225" s="99"/>
      <c r="R225" s="99"/>
      <c r="S225" s="99"/>
      <c r="T225" s="99"/>
      <c r="U225" s="99"/>
      <c r="V225" s="99"/>
      <c r="W225" s="99"/>
      <c r="X225" s="99"/>
      <c r="Y225" s="98"/>
      <c r="Z225" s="98"/>
      <c r="AA225" s="98"/>
      <c r="AB225" s="98"/>
      <c r="AC225" s="98"/>
      <c r="AD225" s="98"/>
      <c r="AE225" s="98"/>
      <c r="AF225" s="98"/>
      <c r="AG225" s="98"/>
      <c r="AH225" s="98"/>
      <c r="AI225" s="98"/>
      <c r="AJ225" s="98"/>
      <c r="AK225" s="98"/>
      <c r="AL225" s="98"/>
      <c r="AM225" s="4"/>
      <c r="AN225" s="4"/>
      <c r="AO225" s="4"/>
      <c r="AP225" s="98"/>
      <c r="AQ225" s="4"/>
      <c r="AR225" s="4"/>
      <c r="AS225" s="4"/>
      <c r="AT225" s="98"/>
      <c r="AU225" s="98"/>
      <c r="AV225" s="98"/>
      <c r="AW225" s="98"/>
      <c r="AX225" s="98"/>
      <c r="AY225" s="98"/>
      <c r="AZ225" s="98"/>
      <c r="BA225" s="98"/>
      <c r="BB225" s="98"/>
      <c r="BC225" s="98"/>
      <c r="BD225" s="98"/>
      <c r="BE225" s="98"/>
      <c r="BF225" s="98"/>
      <c r="BG225" s="98"/>
      <c r="BH225" s="98"/>
      <c r="BI225" s="98"/>
      <c r="BJ225" s="98"/>
      <c r="BK225" s="98"/>
      <c r="BL225" s="98"/>
      <c r="BM225" s="98"/>
      <c r="BN225" s="98"/>
      <c r="BO225" s="98"/>
      <c r="BP225" s="98"/>
      <c r="BQ225" s="98"/>
      <c r="BR225" s="98"/>
      <c r="BS225" s="98"/>
      <c r="BT225" s="98"/>
      <c r="BU225" s="98"/>
      <c r="BV225" s="98"/>
      <c r="BW225" s="98"/>
      <c r="BX225" s="98"/>
      <c r="BY225" s="98"/>
      <c r="BZ225" s="98"/>
      <c r="CA225" s="98"/>
      <c r="CB225" s="98"/>
      <c r="CC225" s="98"/>
    </row>
    <row r="226" ht="15.75" customHeight="1">
      <c r="A226" s="98"/>
      <c r="B226" s="98"/>
      <c r="C226" s="98"/>
      <c r="D226" s="98"/>
      <c r="E226" s="98"/>
      <c r="F226" s="98"/>
      <c r="G226" s="98"/>
      <c r="H226" s="98"/>
      <c r="I226" s="99"/>
      <c r="J226" s="99"/>
      <c r="K226" s="99"/>
      <c r="L226" s="99"/>
      <c r="M226" s="99"/>
      <c r="N226" s="99"/>
      <c r="O226" s="99"/>
      <c r="P226" s="99"/>
      <c r="Q226" s="99"/>
      <c r="R226" s="99"/>
      <c r="S226" s="99"/>
      <c r="T226" s="99"/>
      <c r="U226" s="99"/>
      <c r="V226" s="99"/>
      <c r="W226" s="99"/>
      <c r="X226" s="99"/>
      <c r="Y226" s="98"/>
      <c r="Z226" s="98"/>
      <c r="AA226" s="98"/>
      <c r="AB226" s="98"/>
      <c r="AC226" s="98"/>
      <c r="AD226" s="98"/>
      <c r="AE226" s="98"/>
      <c r="AF226" s="98"/>
      <c r="AG226" s="98"/>
      <c r="AH226" s="98"/>
      <c r="AI226" s="98"/>
      <c r="AJ226" s="98"/>
      <c r="AK226" s="98"/>
      <c r="AL226" s="98"/>
      <c r="AM226" s="4"/>
      <c r="AN226" s="4"/>
      <c r="AO226" s="4"/>
      <c r="AP226" s="98"/>
      <c r="AQ226" s="4"/>
      <c r="AR226" s="4"/>
      <c r="AS226" s="4"/>
      <c r="AT226" s="98"/>
      <c r="AU226" s="98"/>
      <c r="AV226" s="98"/>
      <c r="AW226" s="98"/>
      <c r="AX226" s="98"/>
      <c r="AY226" s="98"/>
      <c r="AZ226" s="98"/>
      <c r="BA226" s="98"/>
      <c r="BB226" s="98"/>
      <c r="BC226" s="98"/>
      <c r="BD226" s="98"/>
      <c r="BE226" s="98"/>
      <c r="BF226" s="98"/>
      <c r="BG226" s="98"/>
      <c r="BH226" s="98"/>
      <c r="BI226" s="98"/>
      <c r="BJ226" s="98"/>
      <c r="BK226" s="98"/>
      <c r="BL226" s="98"/>
      <c r="BM226" s="98"/>
      <c r="BN226" s="98"/>
      <c r="BO226" s="98"/>
      <c r="BP226" s="98"/>
      <c r="BQ226" s="98"/>
      <c r="BR226" s="98"/>
      <c r="BS226" s="98"/>
      <c r="BT226" s="98"/>
      <c r="BU226" s="98"/>
      <c r="BV226" s="98"/>
      <c r="BW226" s="98"/>
      <c r="BX226" s="98"/>
      <c r="BY226" s="98"/>
      <c r="BZ226" s="98"/>
      <c r="CA226" s="98"/>
      <c r="CB226" s="98"/>
      <c r="CC226" s="98"/>
    </row>
    <row r="227" ht="15.75" customHeight="1">
      <c r="A227" s="98"/>
      <c r="B227" s="98"/>
      <c r="C227" s="98"/>
      <c r="D227" s="98"/>
      <c r="E227" s="98"/>
      <c r="F227" s="98"/>
      <c r="G227" s="98"/>
      <c r="H227" s="98"/>
      <c r="I227" s="99"/>
      <c r="J227" s="99"/>
      <c r="K227" s="99"/>
      <c r="L227" s="99"/>
      <c r="M227" s="99"/>
      <c r="N227" s="99"/>
      <c r="O227" s="99"/>
      <c r="P227" s="99"/>
      <c r="Q227" s="99"/>
      <c r="R227" s="99"/>
      <c r="S227" s="99"/>
      <c r="T227" s="99"/>
      <c r="U227" s="99"/>
      <c r="V227" s="99"/>
      <c r="W227" s="99"/>
      <c r="X227" s="99"/>
      <c r="Y227" s="98"/>
      <c r="Z227" s="98"/>
      <c r="AA227" s="98"/>
      <c r="AB227" s="98"/>
      <c r="AC227" s="98"/>
      <c r="AD227" s="98"/>
      <c r="AE227" s="98"/>
      <c r="AF227" s="98"/>
      <c r="AG227" s="98"/>
      <c r="AH227" s="98"/>
      <c r="AI227" s="98"/>
      <c r="AJ227" s="98"/>
      <c r="AK227" s="98"/>
      <c r="AL227" s="98"/>
      <c r="AM227" s="4"/>
      <c r="AN227" s="4"/>
      <c r="AO227" s="4"/>
      <c r="AP227" s="98"/>
      <c r="AQ227" s="4"/>
      <c r="AR227" s="4"/>
      <c r="AS227" s="4"/>
      <c r="AT227" s="98"/>
      <c r="AU227" s="98"/>
      <c r="AV227" s="98"/>
      <c r="AW227" s="98"/>
      <c r="AX227" s="98"/>
      <c r="AY227" s="98"/>
      <c r="AZ227" s="98"/>
      <c r="BA227" s="98"/>
      <c r="BB227" s="98"/>
      <c r="BC227" s="98"/>
      <c r="BD227" s="98"/>
      <c r="BE227" s="98"/>
      <c r="BF227" s="98"/>
      <c r="BG227" s="98"/>
      <c r="BH227" s="98"/>
      <c r="BI227" s="98"/>
      <c r="BJ227" s="98"/>
      <c r="BK227" s="98"/>
      <c r="BL227" s="98"/>
      <c r="BM227" s="98"/>
      <c r="BN227" s="98"/>
      <c r="BO227" s="98"/>
      <c r="BP227" s="98"/>
      <c r="BQ227" s="98"/>
      <c r="BR227" s="98"/>
      <c r="BS227" s="98"/>
      <c r="BT227" s="98"/>
      <c r="BU227" s="98"/>
      <c r="BV227" s="98"/>
      <c r="BW227" s="98"/>
      <c r="BX227" s="98"/>
      <c r="BY227" s="98"/>
      <c r="BZ227" s="98"/>
      <c r="CA227" s="98"/>
      <c r="CB227" s="98"/>
      <c r="CC227" s="98"/>
    </row>
    <row r="228" ht="15.75" customHeight="1">
      <c r="A228" s="98"/>
      <c r="B228" s="98"/>
      <c r="C228" s="98"/>
      <c r="D228" s="98"/>
      <c r="E228" s="98"/>
      <c r="F228" s="98"/>
      <c r="G228" s="98"/>
      <c r="H228" s="98"/>
      <c r="I228" s="99"/>
      <c r="J228" s="99"/>
      <c r="K228" s="99"/>
      <c r="L228" s="99"/>
      <c r="M228" s="99"/>
      <c r="N228" s="99"/>
      <c r="O228" s="99"/>
      <c r="P228" s="99"/>
      <c r="Q228" s="99"/>
      <c r="R228" s="99"/>
      <c r="S228" s="99"/>
      <c r="T228" s="99"/>
      <c r="U228" s="99"/>
      <c r="V228" s="99"/>
      <c r="W228" s="99"/>
      <c r="X228" s="99"/>
      <c r="Y228" s="98"/>
      <c r="Z228" s="98"/>
      <c r="AA228" s="98"/>
      <c r="AB228" s="98"/>
      <c r="AC228" s="98"/>
      <c r="AD228" s="98"/>
      <c r="AE228" s="98"/>
      <c r="AF228" s="98"/>
      <c r="AG228" s="98"/>
      <c r="AH228" s="98"/>
      <c r="AI228" s="98"/>
      <c r="AJ228" s="98"/>
      <c r="AK228" s="98"/>
      <c r="AL228" s="98"/>
      <c r="AM228" s="4"/>
      <c r="AN228" s="4"/>
      <c r="AO228" s="4"/>
      <c r="AP228" s="98"/>
      <c r="AQ228" s="4"/>
      <c r="AR228" s="4"/>
      <c r="AS228" s="4"/>
      <c r="AT228" s="98"/>
      <c r="AU228" s="98"/>
      <c r="AV228" s="98"/>
      <c r="AW228" s="98"/>
      <c r="AX228" s="98"/>
      <c r="AY228" s="98"/>
      <c r="AZ228" s="98"/>
      <c r="BA228" s="98"/>
      <c r="BB228" s="98"/>
      <c r="BC228" s="98"/>
      <c r="BD228" s="98"/>
      <c r="BE228" s="98"/>
      <c r="BF228" s="98"/>
      <c r="BG228" s="98"/>
      <c r="BH228" s="98"/>
      <c r="BI228" s="98"/>
      <c r="BJ228" s="98"/>
      <c r="BK228" s="98"/>
      <c r="BL228" s="98"/>
      <c r="BM228" s="98"/>
      <c r="BN228" s="98"/>
      <c r="BO228" s="98"/>
      <c r="BP228" s="98"/>
      <c r="BQ228" s="98"/>
      <c r="BR228" s="98"/>
      <c r="BS228" s="98"/>
      <c r="BT228" s="98"/>
      <c r="BU228" s="98"/>
      <c r="BV228" s="98"/>
      <c r="BW228" s="98"/>
      <c r="BX228" s="98"/>
      <c r="BY228" s="98"/>
      <c r="BZ228" s="98"/>
      <c r="CA228" s="98"/>
      <c r="CB228" s="98"/>
      <c r="CC228" s="98"/>
    </row>
    <row r="229" ht="15.75" customHeight="1">
      <c r="A229" s="98"/>
      <c r="B229" s="98"/>
      <c r="C229" s="98"/>
      <c r="D229" s="98"/>
      <c r="E229" s="98"/>
      <c r="F229" s="98"/>
      <c r="G229" s="98"/>
      <c r="H229" s="98"/>
      <c r="I229" s="99"/>
      <c r="J229" s="99"/>
      <c r="K229" s="99"/>
      <c r="L229" s="99"/>
      <c r="M229" s="99"/>
      <c r="N229" s="99"/>
      <c r="O229" s="99"/>
      <c r="P229" s="99"/>
      <c r="Q229" s="99"/>
      <c r="R229" s="99"/>
      <c r="S229" s="99"/>
      <c r="T229" s="99"/>
      <c r="U229" s="99"/>
      <c r="V229" s="99"/>
      <c r="W229" s="99"/>
      <c r="X229" s="99"/>
      <c r="Y229" s="98"/>
      <c r="Z229" s="98"/>
      <c r="AA229" s="98"/>
      <c r="AB229" s="98"/>
      <c r="AC229" s="98"/>
      <c r="AD229" s="98"/>
      <c r="AE229" s="98"/>
      <c r="AF229" s="98"/>
      <c r="AG229" s="98"/>
      <c r="AH229" s="98"/>
      <c r="AI229" s="98"/>
      <c r="AJ229" s="98"/>
      <c r="AK229" s="98"/>
      <c r="AL229" s="98"/>
      <c r="AM229" s="4"/>
      <c r="AN229" s="4"/>
      <c r="AO229" s="4"/>
      <c r="AP229" s="98"/>
      <c r="AQ229" s="4"/>
      <c r="AR229" s="4"/>
      <c r="AS229" s="4"/>
      <c r="AT229" s="98"/>
      <c r="AU229" s="98"/>
      <c r="AV229" s="98"/>
      <c r="AW229" s="98"/>
      <c r="AX229" s="98"/>
      <c r="AY229" s="98"/>
      <c r="AZ229" s="98"/>
      <c r="BA229" s="98"/>
      <c r="BB229" s="98"/>
      <c r="BC229" s="98"/>
      <c r="BD229" s="98"/>
      <c r="BE229" s="98"/>
      <c r="BF229" s="98"/>
      <c r="BG229" s="98"/>
      <c r="BH229" s="98"/>
      <c r="BI229" s="98"/>
      <c r="BJ229" s="98"/>
      <c r="BK229" s="98"/>
      <c r="BL229" s="98"/>
      <c r="BM229" s="98"/>
      <c r="BN229" s="98"/>
      <c r="BO229" s="98"/>
      <c r="BP229" s="98"/>
      <c r="BQ229" s="98"/>
      <c r="BR229" s="98"/>
      <c r="BS229" s="98"/>
      <c r="BT229" s="98"/>
      <c r="BU229" s="98"/>
      <c r="BV229" s="98"/>
      <c r="BW229" s="98"/>
      <c r="BX229" s="98"/>
      <c r="BY229" s="98"/>
      <c r="BZ229" s="98"/>
      <c r="CA229" s="98"/>
      <c r="CB229" s="98"/>
      <c r="CC229" s="98"/>
    </row>
    <row r="230" ht="15.75" customHeight="1">
      <c r="A230" s="98"/>
      <c r="B230" s="98"/>
      <c r="C230" s="98"/>
      <c r="D230" s="98"/>
      <c r="E230" s="98"/>
      <c r="F230" s="98"/>
      <c r="G230" s="98"/>
      <c r="H230" s="98"/>
      <c r="I230" s="99"/>
      <c r="J230" s="99"/>
      <c r="K230" s="99"/>
      <c r="L230" s="99"/>
      <c r="M230" s="99"/>
      <c r="N230" s="99"/>
      <c r="O230" s="99"/>
      <c r="P230" s="99"/>
      <c r="Q230" s="99"/>
      <c r="R230" s="99"/>
      <c r="S230" s="99"/>
      <c r="T230" s="99"/>
      <c r="U230" s="99"/>
      <c r="V230" s="99"/>
      <c r="W230" s="99"/>
      <c r="X230" s="99"/>
      <c r="Y230" s="98"/>
      <c r="Z230" s="98"/>
      <c r="AA230" s="98"/>
      <c r="AB230" s="98"/>
      <c r="AC230" s="98"/>
      <c r="AD230" s="98"/>
      <c r="AE230" s="98"/>
      <c r="AF230" s="98"/>
      <c r="AG230" s="98"/>
      <c r="AH230" s="98"/>
      <c r="AI230" s="98"/>
      <c r="AJ230" s="98"/>
      <c r="AK230" s="98"/>
      <c r="AL230" s="98"/>
      <c r="AM230" s="4"/>
      <c r="AN230" s="4"/>
      <c r="AO230" s="4"/>
      <c r="AP230" s="98"/>
      <c r="AQ230" s="4"/>
      <c r="AR230" s="4"/>
      <c r="AS230" s="4"/>
      <c r="AT230" s="98"/>
      <c r="AU230" s="98"/>
      <c r="AV230" s="98"/>
      <c r="AW230" s="98"/>
      <c r="AX230" s="98"/>
      <c r="AY230" s="98"/>
      <c r="AZ230" s="98"/>
      <c r="BA230" s="98"/>
      <c r="BB230" s="98"/>
      <c r="BC230" s="98"/>
      <c r="BD230" s="98"/>
      <c r="BE230" s="98"/>
      <c r="BF230" s="98"/>
      <c r="BG230" s="98"/>
      <c r="BH230" s="98"/>
      <c r="BI230" s="98"/>
      <c r="BJ230" s="98"/>
      <c r="BK230" s="98"/>
      <c r="BL230" s="98"/>
      <c r="BM230" s="98"/>
      <c r="BN230" s="98"/>
      <c r="BO230" s="98"/>
      <c r="BP230" s="98"/>
      <c r="BQ230" s="98"/>
      <c r="BR230" s="98"/>
      <c r="BS230" s="98"/>
      <c r="BT230" s="98"/>
      <c r="BU230" s="98"/>
      <c r="BV230" s="98"/>
      <c r="BW230" s="98"/>
      <c r="BX230" s="98"/>
      <c r="BY230" s="98"/>
      <c r="BZ230" s="98"/>
      <c r="CA230" s="98"/>
      <c r="CB230" s="98"/>
      <c r="CC230" s="98"/>
    </row>
    <row r="231" ht="15.75" customHeight="1">
      <c r="A231" s="98"/>
      <c r="B231" s="98"/>
      <c r="C231" s="98"/>
      <c r="D231" s="98"/>
      <c r="E231" s="98"/>
      <c r="F231" s="98"/>
      <c r="G231" s="98"/>
      <c r="H231" s="98"/>
      <c r="I231" s="99"/>
      <c r="J231" s="99"/>
      <c r="K231" s="99"/>
      <c r="L231" s="99"/>
      <c r="M231" s="99"/>
      <c r="N231" s="99"/>
      <c r="O231" s="99"/>
      <c r="P231" s="99"/>
      <c r="Q231" s="99"/>
      <c r="R231" s="99"/>
      <c r="S231" s="99"/>
      <c r="T231" s="99"/>
      <c r="U231" s="99"/>
      <c r="V231" s="99"/>
      <c r="W231" s="99"/>
      <c r="X231" s="99"/>
      <c r="Y231" s="98"/>
      <c r="Z231" s="98"/>
      <c r="AA231" s="98"/>
      <c r="AB231" s="98"/>
      <c r="AC231" s="98"/>
      <c r="AD231" s="98"/>
      <c r="AE231" s="98"/>
      <c r="AF231" s="98"/>
      <c r="AG231" s="98"/>
      <c r="AH231" s="98"/>
      <c r="AI231" s="98"/>
      <c r="AJ231" s="98"/>
      <c r="AK231" s="98"/>
      <c r="AL231" s="98"/>
      <c r="AM231" s="4"/>
      <c r="AN231" s="4"/>
      <c r="AO231" s="4"/>
      <c r="AP231" s="98"/>
      <c r="AQ231" s="4"/>
      <c r="AR231" s="4"/>
      <c r="AS231" s="4"/>
      <c r="AT231" s="98"/>
      <c r="AU231" s="98"/>
      <c r="AV231" s="98"/>
      <c r="AW231" s="98"/>
      <c r="AX231" s="98"/>
      <c r="AY231" s="98"/>
      <c r="AZ231" s="98"/>
      <c r="BA231" s="98"/>
      <c r="BB231" s="98"/>
      <c r="BC231" s="98"/>
      <c r="BD231" s="98"/>
      <c r="BE231" s="98"/>
      <c r="BF231" s="98"/>
      <c r="BG231" s="98"/>
      <c r="BH231" s="98"/>
      <c r="BI231" s="98"/>
      <c r="BJ231" s="98"/>
      <c r="BK231" s="98"/>
      <c r="BL231" s="98"/>
      <c r="BM231" s="98"/>
      <c r="BN231" s="98"/>
      <c r="BO231" s="98"/>
      <c r="BP231" s="98"/>
      <c r="BQ231" s="98"/>
      <c r="BR231" s="98"/>
      <c r="BS231" s="98"/>
      <c r="BT231" s="98"/>
      <c r="BU231" s="98"/>
      <c r="BV231" s="98"/>
      <c r="BW231" s="98"/>
      <c r="BX231" s="98"/>
      <c r="BY231" s="98"/>
      <c r="BZ231" s="98"/>
      <c r="CA231" s="98"/>
      <c r="CB231" s="98"/>
      <c r="CC231" s="98"/>
    </row>
    <row r="232" ht="15.75" customHeight="1">
      <c r="A232" s="98"/>
      <c r="B232" s="98"/>
      <c r="C232" s="98"/>
      <c r="D232" s="98"/>
      <c r="E232" s="98"/>
      <c r="F232" s="98"/>
      <c r="G232" s="98"/>
      <c r="H232" s="98"/>
      <c r="I232" s="99"/>
      <c r="J232" s="99"/>
      <c r="K232" s="99"/>
      <c r="L232" s="99"/>
      <c r="M232" s="99"/>
      <c r="N232" s="99"/>
      <c r="O232" s="99"/>
      <c r="P232" s="99"/>
      <c r="Q232" s="99"/>
      <c r="R232" s="99"/>
      <c r="S232" s="99"/>
      <c r="T232" s="99"/>
      <c r="U232" s="99"/>
      <c r="V232" s="99"/>
      <c r="W232" s="99"/>
      <c r="X232" s="99"/>
      <c r="Y232" s="98"/>
      <c r="Z232" s="98"/>
      <c r="AA232" s="98"/>
      <c r="AB232" s="98"/>
      <c r="AC232" s="98"/>
      <c r="AD232" s="98"/>
      <c r="AE232" s="98"/>
      <c r="AF232" s="98"/>
      <c r="AG232" s="98"/>
      <c r="AH232" s="98"/>
      <c r="AI232" s="98"/>
      <c r="AJ232" s="98"/>
      <c r="AK232" s="98"/>
      <c r="AL232" s="98"/>
      <c r="AM232" s="4"/>
      <c r="AN232" s="4"/>
      <c r="AO232" s="4"/>
      <c r="AP232" s="98"/>
      <c r="AQ232" s="4"/>
      <c r="AR232" s="4"/>
      <c r="AS232" s="4"/>
      <c r="AT232" s="98"/>
      <c r="AU232" s="98"/>
      <c r="AV232" s="98"/>
      <c r="AW232" s="98"/>
      <c r="AX232" s="98"/>
      <c r="AY232" s="98"/>
      <c r="AZ232" s="98"/>
      <c r="BA232" s="98"/>
      <c r="BB232" s="98"/>
      <c r="BC232" s="98"/>
      <c r="BD232" s="98"/>
      <c r="BE232" s="98"/>
      <c r="BF232" s="98"/>
      <c r="BG232" s="98"/>
      <c r="BH232" s="98"/>
      <c r="BI232" s="98"/>
      <c r="BJ232" s="98"/>
      <c r="BK232" s="98"/>
      <c r="BL232" s="98"/>
      <c r="BM232" s="98"/>
      <c r="BN232" s="98"/>
      <c r="BO232" s="98"/>
      <c r="BP232" s="98"/>
      <c r="BQ232" s="98"/>
      <c r="BR232" s="98"/>
      <c r="BS232" s="98"/>
      <c r="BT232" s="98"/>
      <c r="BU232" s="98"/>
      <c r="BV232" s="98"/>
      <c r="BW232" s="98"/>
      <c r="BX232" s="98"/>
      <c r="BY232" s="98"/>
      <c r="BZ232" s="98"/>
      <c r="CA232" s="98"/>
      <c r="CB232" s="98"/>
      <c r="CC232" s="98"/>
    </row>
    <row r="233" ht="15.75" customHeight="1">
      <c r="AM233" s="103"/>
      <c r="AN233" s="103"/>
      <c r="AO233" s="103"/>
      <c r="AQ233" s="103"/>
      <c r="AR233" s="103"/>
      <c r="AS233" s="103"/>
    </row>
    <row r="234" ht="15.75" customHeight="1">
      <c r="AM234" s="103"/>
      <c r="AN234" s="103"/>
      <c r="AO234" s="103"/>
      <c r="AQ234" s="103"/>
      <c r="AR234" s="103"/>
      <c r="AS234" s="103"/>
    </row>
    <row r="235" ht="15.75" customHeight="1">
      <c r="AM235" s="103"/>
      <c r="AN235" s="103"/>
      <c r="AO235" s="103"/>
      <c r="AQ235" s="103"/>
      <c r="AR235" s="103"/>
      <c r="AS235" s="103"/>
    </row>
    <row r="236" ht="15.75" customHeight="1">
      <c r="AM236" s="103"/>
      <c r="AN236" s="103"/>
      <c r="AO236" s="103"/>
      <c r="AQ236" s="103"/>
      <c r="AR236" s="103"/>
      <c r="AS236" s="103"/>
    </row>
    <row r="237" ht="15.75" customHeight="1">
      <c r="AM237" s="103"/>
      <c r="AN237" s="103"/>
      <c r="AO237" s="103"/>
      <c r="AQ237" s="103"/>
      <c r="AR237" s="103"/>
      <c r="AS237" s="103"/>
    </row>
    <row r="238" ht="15.75" customHeight="1">
      <c r="AM238" s="103"/>
      <c r="AN238" s="103"/>
      <c r="AO238" s="103"/>
      <c r="AQ238" s="103"/>
      <c r="AR238" s="103"/>
      <c r="AS238" s="103"/>
    </row>
    <row r="239" ht="15.75" customHeight="1">
      <c r="AM239" s="103"/>
      <c r="AN239" s="103"/>
      <c r="AO239" s="103"/>
      <c r="AQ239" s="103"/>
      <c r="AR239" s="103"/>
      <c r="AS239" s="103"/>
    </row>
    <row r="240" ht="15.75" customHeight="1">
      <c r="AM240" s="103"/>
      <c r="AN240" s="103"/>
      <c r="AO240" s="103"/>
      <c r="AQ240" s="103"/>
      <c r="AR240" s="103"/>
      <c r="AS240" s="103"/>
    </row>
    <row r="241" ht="15.75" customHeight="1">
      <c r="AM241" s="103"/>
      <c r="AN241" s="103"/>
      <c r="AO241" s="103"/>
      <c r="AQ241" s="103"/>
      <c r="AR241" s="103"/>
      <c r="AS241" s="103"/>
    </row>
    <row r="242" ht="15.75" customHeight="1">
      <c r="AM242" s="103"/>
      <c r="AN242" s="103"/>
      <c r="AO242" s="103"/>
      <c r="AQ242" s="103"/>
      <c r="AR242" s="103"/>
      <c r="AS242" s="103"/>
    </row>
    <row r="243" ht="15.75" customHeight="1">
      <c r="AM243" s="103"/>
      <c r="AN243" s="103"/>
      <c r="AO243" s="103"/>
      <c r="AQ243" s="103"/>
      <c r="AR243" s="103"/>
      <c r="AS243" s="103"/>
    </row>
    <row r="244" ht="15.75" customHeight="1">
      <c r="AM244" s="103"/>
      <c r="AN244" s="103"/>
      <c r="AO244" s="103"/>
      <c r="AQ244" s="103"/>
      <c r="AR244" s="103"/>
      <c r="AS244" s="103"/>
    </row>
    <row r="245" ht="15.75" customHeight="1">
      <c r="AM245" s="103"/>
      <c r="AN245" s="103"/>
      <c r="AO245" s="103"/>
      <c r="AQ245" s="103"/>
      <c r="AR245" s="103"/>
      <c r="AS245" s="103"/>
    </row>
    <row r="246" ht="15.75" customHeight="1">
      <c r="AM246" s="103"/>
      <c r="AN246" s="103"/>
      <c r="AO246" s="103"/>
      <c r="AQ246" s="103"/>
      <c r="AR246" s="103"/>
      <c r="AS246" s="103"/>
    </row>
    <row r="247" ht="15.75" customHeight="1">
      <c r="AM247" s="103"/>
      <c r="AN247" s="103"/>
      <c r="AO247" s="103"/>
      <c r="AQ247" s="103"/>
      <c r="AR247" s="103"/>
      <c r="AS247" s="103"/>
    </row>
    <row r="248" ht="15.75" customHeight="1">
      <c r="AM248" s="103"/>
      <c r="AN248" s="103"/>
      <c r="AO248" s="103"/>
      <c r="AQ248" s="103"/>
      <c r="AR248" s="103"/>
      <c r="AS248" s="103"/>
    </row>
    <row r="249" ht="15.75" customHeight="1">
      <c r="AM249" s="103"/>
      <c r="AN249" s="103"/>
      <c r="AO249" s="103"/>
      <c r="AQ249" s="103"/>
      <c r="AR249" s="103"/>
      <c r="AS249" s="103"/>
    </row>
    <row r="250" ht="15.75" customHeight="1">
      <c r="AM250" s="103"/>
      <c r="AN250" s="103"/>
      <c r="AO250" s="103"/>
      <c r="AQ250" s="103"/>
      <c r="AR250" s="103"/>
      <c r="AS250" s="103"/>
    </row>
    <row r="251" ht="15.75" customHeight="1">
      <c r="AM251" s="103"/>
      <c r="AN251" s="103"/>
      <c r="AO251" s="103"/>
      <c r="AQ251" s="103"/>
      <c r="AR251" s="103"/>
      <c r="AS251" s="103"/>
    </row>
    <row r="252" ht="15.75" customHeight="1">
      <c r="AM252" s="103"/>
      <c r="AN252" s="103"/>
      <c r="AO252" s="103"/>
      <c r="AQ252" s="103"/>
      <c r="AR252" s="103"/>
      <c r="AS252" s="103"/>
    </row>
    <row r="253" ht="15.75" customHeight="1">
      <c r="AM253" s="103"/>
      <c r="AN253" s="103"/>
      <c r="AO253" s="103"/>
      <c r="AQ253" s="103"/>
      <c r="AR253" s="103"/>
      <c r="AS253" s="103"/>
    </row>
    <row r="254" ht="15.75" customHeight="1">
      <c r="AM254" s="103"/>
      <c r="AN254" s="103"/>
      <c r="AO254" s="103"/>
      <c r="AQ254" s="103"/>
      <c r="AR254" s="103"/>
      <c r="AS254" s="103"/>
    </row>
    <row r="255" ht="15.75" customHeight="1">
      <c r="AM255" s="103"/>
      <c r="AN255" s="103"/>
      <c r="AO255" s="103"/>
      <c r="AQ255" s="103"/>
      <c r="AR255" s="103"/>
      <c r="AS255" s="103"/>
    </row>
    <row r="256" ht="15.75" customHeight="1">
      <c r="AM256" s="103"/>
      <c r="AN256" s="103"/>
      <c r="AO256" s="103"/>
      <c r="AQ256" s="103"/>
      <c r="AR256" s="103"/>
      <c r="AS256" s="103"/>
    </row>
    <row r="257" ht="15.75" customHeight="1">
      <c r="AM257" s="103"/>
      <c r="AN257" s="103"/>
      <c r="AO257" s="103"/>
      <c r="AQ257" s="103"/>
      <c r="AR257" s="103"/>
      <c r="AS257" s="103"/>
    </row>
    <row r="258" ht="15.75" customHeight="1">
      <c r="AM258" s="103"/>
      <c r="AN258" s="103"/>
      <c r="AO258" s="103"/>
      <c r="AQ258" s="103"/>
      <c r="AR258" s="103"/>
      <c r="AS258" s="103"/>
    </row>
    <row r="259" ht="15.75" customHeight="1">
      <c r="AM259" s="103"/>
      <c r="AN259" s="103"/>
      <c r="AO259" s="103"/>
      <c r="AQ259" s="103"/>
      <c r="AR259" s="103"/>
      <c r="AS259" s="103"/>
    </row>
    <row r="260" ht="15.75" customHeight="1">
      <c r="AM260" s="103"/>
      <c r="AN260" s="103"/>
      <c r="AO260" s="103"/>
      <c r="AQ260" s="103"/>
      <c r="AR260" s="103"/>
      <c r="AS260" s="103"/>
    </row>
    <row r="261" ht="15.75" customHeight="1">
      <c r="AM261" s="103"/>
      <c r="AN261" s="103"/>
      <c r="AO261" s="103"/>
      <c r="AQ261" s="103"/>
      <c r="AR261" s="103"/>
      <c r="AS261" s="103"/>
    </row>
    <row r="262" ht="15.75" customHeight="1">
      <c r="AM262" s="103"/>
      <c r="AN262" s="103"/>
      <c r="AO262" s="103"/>
      <c r="AQ262" s="103"/>
      <c r="AR262" s="103"/>
      <c r="AS262" s="103"/>
    </row>
    <row r="263" ht="15.75" customHeight="1">
      <c r="AM263" s="103"/>
      <c r="AN263" s="103"/>
      <c r="AO263" s="103"/>
      <c r="AQ263" s="103"/>
      <c r="AR263" s="103"/>
      <c r="AS263" s="103"/>
    </row>
    <row r="264" ht="15.75" customHeight="1">
      <c r="AM264" s="103"/>
      <c r="AN264" s="103"/>
      <c r="AO264" s="103"/>
      <c r="AQ264" s="103"/>
      <c r="AR264" s="103"/>
      <c r="AS264" s="103"/>
    </row>
    <row r="265" ht="15.75" customHeight="1">
      <c r="AM265" s="103"/>
      <c r="AN265" s="103"/>
      <c r="AO265" s="103"/>
      <c r="AQ265" s="103"/>
      <c r="AR265" s="103"/>
      <c r="AS265" s="103"/>
    </row>
    <row r="266" ht="15.75" customHeight="1">
      <c r="AM266" s="103"/>
      <c r="AN266" s="103"/>
      <c r="AO266" s="103"/>
      <c r="AQ266" s="103"/>
      <c r="AR266" s="103"/>
      <c r="AS266" s="103"/>
    </row>
    <row r="267" ht="15.75" customHeight="1">
      <c r="AM267" s="103"/>
      <c r="AN267" s="103"/>
      <c r="AO267" s="103"/>
      <c r="AQ267" s="103"/>
      <c r="AR267" s="103"/>
      <c r="AS267" s="103"/>
    </row>
    <row r="268" ht="15.75" customHeight="1">
      <c r="AM268" s="103"/>
      <c r="AN268" s="103"/>
      <c r="AO268" s="103"/>
      <c r="AQ268" s="103"/>
      <c r="AR268" s="103"/>
      <c r="AS268" s="103"/>
    </row>
    <row r="269" ht="15.75" customHeight="1">
      <c r="AM269" s="103"/>
      <c r="AN269" s="103"/>
      <c r="AO269" s="103"/>
      <c r="AQ269" s="103"/>
      <c r="AR269" s="103"/>
      <c r="AS269" s="103"/>
    </row>
    <row r="270" ht="15.75" customHeight="1">
      <c r="AM270" s="103"/>
      <c r="AN270" s="103"/>
      <c r="AO270" s="103"/>
      <c r="AQ270" s="103"/>
      <c r="AR270" s="103"/>
      <c r="AS270" s="103"/>
    </row>
    <row r="271" ht="15.75" customHeight="1">
      <c r="AM271" s="103"/>
      <c r="AN271" s="103"/>
      <c r="AO271" s="103"/>
      <c r="AQ271" s="103"/>
      <c r="AR271" s="103"/>
      <c r="AS271" s="103"/>
    </row>
    <row r="272" ht="15.75" customHeight="1">
      <c r="AM272" s="103"/>
      <c r="AN272" s="103"/>
      <c r="AO272" s="103"/>
      <c r="AQ272" s="103"/>
      <c r="AR272" s="103"/>
      <c r="AS272" s="103"/>
    </row>
    <row r="273" ht="15.75" customHeight="1">
      <c r="AM273" s="103"/>
      <c r="AN273" s="103"/>
      <c r="AO273" s="103"/>
      <c r="AQ273" s="103"/>
      <c r="AR273" s="103"/>
      <c r="AS273" s="103"/>
    </row>
    <row r="274" ht="15.75" customHeight="1">
      <c r="AM274" s="103"/>
      <c r="AN274" s="103"/>
      <c r="AO274" s="103"/>
      <c r="AQ274" s="103"/>
      <c r="AR274" s="103"/>
      <c r="AS274" s="103"/>
    </row>
    <row r="275" ht="15.75" customHeight="1">
      <c r="AM275" s="103"/>
      <c r="AN275" s="103"/>
      <c r="AO275" s="103"/>
      <c r="AQ275" s="103"/>
      <c r="AR275" s="103"/>
      <c r="AS275" s="103"/>
    </row>
    <row r="276" ht="15.75" customHeight="1">
      <c r="AM276" s="103"/>
      <c r="AN276" s="103"/>
      <c r="AO276" s="103"/>
      <c r="AQ276" s="103"/>
      <c r="AR276" s="103"/>
      <c r="AS276" s="103"/>
    </row>
    <row r="277" ht="15.75" customHeight="1">
      <c r="AM277" s="103"/>
      <c r="AN277" s="103"/>
      <c r="AO277" s="103"/>
      <c r="AQ277" s="103"/>
      <c r="AR277" s="103"/>
      <c r="AS277" s="103"/>
    </row>
    <row r="278" ht="15.75" customHeight="1">
      <c r="AM278" s="103"/>
      <c r="AN278" s="103"/>
      <c r="AO278" s="103"/>
      <c r="AQ278" s="103"/>
      <c r="AR278" s="103"/>
      <c r="AS278" s="103"/>
    </row>
    <row r="279" ht="15.75" customHeight="1">
      <c r="AM279" s="103"/>
      <c r="AN279" s="103"/>
      <c r="AO279" s="103"/>
      <c r="AQ279" s="103"/>
      <c r="AR279" s="103"/>
      <c r="AS279" s="103"/>
    </row>
    <row r="280" ht="15.75" customHeight="1">
      <c r="AM280" s="103"/>
      <c r="AN280" s="103"/>
      <c r="AO280" s="103"/>
      <c r="AQ280" s="103"/>
      <c r="AR280" s="103"/>
      <c r="AS280" s="103"/>
    </row>
    <row r="281" ht="15.75" customHeight="1">
      <c r="AM281" s="103"/>
      <c r="AN281" s="103"/>
      <c r="AO281" s="103"/>
      <c r="AQ281" s="103"/>
      <c r="AR281" s="103"/>
      <c r="AS281" s="103"/>
    </row>
    <row r="282" ht="15.75" customHeight="1">
      <c r="AM282" s="103"/>
      <c r="AN282" s="103"/>
      <c r="AO282" s="103"/>
      <c r="AQ282" s="103"/>
      <c r="AR282" s="103"/>
      <c r="AS282" s="103"/>
    </row>
    <row r="283" ht="15.75" customHeight="1">
      <c r="AM283" s="103"/>
      <c r="AN283" s="103"/>
      <c r="AO283" s="103"/>
      <c r="AQ283" s="103"/>
      <c r="AR283" s="103"/>
      <c r="AS283" s="103"/>
    </row>
    <row r="284" ht="15.75" customHeight="1">
      <c r="AM284" s="103"/>
      <c r="AN284" s="103"/>
      <c r="AO284" s="103"/>
      <c r="AQ284" s="103"/>
      <c r="AR284" s="103"/>
      <c r="AS284" s="103"/>
    </row>
    <row r="285" ht="15.75" customHeight="1">
      <c r="AM285" s="103"/>
      <c r="AN285" s="103"/>
      <c r="AO285" s="103"/>
      <c r="AQ285" s="103"/>
      <c r="AR285" s="103"/>
      <c r="AS285" s="103"/>
    </row>
    <row r="286" ht="15.75" customHeight="1">
      <c r="AM286" s="103"/>
      <c r="AN286" s="103"/>
      <c r="AO286" s="103"/>
      <c r="AQ286" s="103"/>
      <c r="AR286" s="103"/>
      <c r="AS286" s="103"/>
    </row>
    <row r="287" ht="15.75" customHeight="1">
      <c r="AM287" s="103"/>
      <c r="AN287" s="103"/>
      <c r="AO287" s="103"/>
      <c r="AQ287" s="103"/>
      <c r="AR287" s="103"/>
      <c r="AS287" s="103"/>
    </row>
    <row r="288" ht="15.75" customHeight="1">
      <c r="AM288" s="103"/>
      <c r="AN288" s="103"/>
      <c r="AO288" s="103"/>
      <c r="AQ288" s="103"/>
      <c r="AR288" s="103"/>
      <c r="AS288" s="103"/>
    </row>
    <row r="289" ht="15.75" customHeight="1">
      <c r="AM289" s="103"/>
      <c r="AN289" s="103"/>
      <c r="AO289" s="103"/>
      <c r="AQ289" s="103"/>
      <c r="AR289" s="103"/>
      <c r="AS289" s="103"/>
    </row>
    <row r="290" ht="15.75" customHeight="1">
      <c r="AM290" s="103"/>
      <c r="AN290" s="103"/>
      <c r="AO290" s="103"/>
      <c r="AQ290" s="103"/>
      <c r="AR290" s="103"/>
      <c r="AS290" s="103"/>
    </row>
    <row r="291" ht="15.75" customHeight="1">
      <c r="AM291" s="103"/>
      <c r="AN291" s="103"/>
      <c r="AO291" s="103"/>
      <c r="AQ291" s="103"/>
      <c r="AR291" s="103"/>
      <c r="AS291" s="103"/>
    </row>
    <row r="292" ht="15.75" customHeight="1">
      <c r="AM292" s="103"/>
      <c r="AN292" s="103"/>
      <c r="AO292" s="103"/>
      <c r="AQ292" s="103"/>
      <c r="AR292" s="103"/>
      <c r="AS292" s="103"/>
    </row>
    <row r="293" ht="15.75" customHeight="1">
      <c r="AM293" s="103"/>
      <c r="AN293" s="103"/>
      <c r="AO293" s="103"/>
      <c r="AQ293" s="103"/>
      <c r="AR293" s="103"/>
      <c r="AS293" s="103"/>
    </row>
    <row r="294" ht="15.75" customHeight="1">
      <c r="AM294" s="103"/>
      <c r="AN294" s="103"/>
      <c r="AO294" s="103"/>
      <c r="AQ294" s="103"/>
      <c r="AR294" s="103"/>
      <c r="AS294" s="103"/>
    </row>
    <row r="295" ht="15.75" customHeight="1">
      <c r="AM295" s="103"/>
      <c r="AN295" s="103"/>
      <c r="AO295" s="103"/>
      <c r="AQ295" s="103"/>
      <c r="AR295" s="103"/>
      <c r="AS295" s="103"/>
    </row>
    <row r="296" ht="15.75" customHeight="1">
      <c r="AM296" s="103"/>
      <c r="AN296" s="103"/>
      <c r="AO296" s="103"/>
      <c r="AQ296" s="103"/>
      <c r="AR296" s="103"/>
      <c r="AS296" s="103"/>
    </row>
    <row r="297" ht="15.75" customHeight="1">
      <c r="AM297" s="103"/>
      <c r="AN297" s="103"/>
      <c r="AO297" s="103"/>
      <c r="AQ297" s="103"/>
      <c r="AR297" s="103"/>
      <c r="AS297" s="103"/>
    </row>
    <row r="298" ht="15.75" customHeight="1">
      <c r="AM298" s="103"/>
      <c r="AN298" s="103"/>
      <c r="AO298" s="103"/>
      <c r="AQ298" s="103"/>
      <c r="AR298" s="103"/>
      <c r="AS298" s="103"/>
    </row>
    <row r="299" ht="15.75" customHeight="1">
      <c r="AM299" s="103"/>
      <c r="AN299" s="103"/>
      <c r="AO299" s="103"/>
      <c r="AQ299" s="103"/>
      <c r="AR299" s="103"/>
      <c r="AS299" s="103"/>
    </row>
    <row r="300" ht="15.75" customHeight="1">
      <c r="AM300" s="103"/>
      <c r="AN300" s="103"/>
      <c r="AO300" s="103"/>
      <c r="AQ300" s="103"/>
      <c r="AR300" s="103"/>
      <c r="AS300" s="103"/>
    </row>
    <row r="301" ht="15.75" customHeight="1">
      <c r="AM301" s="103"/>
      <c r="AN301" s="103"/>
      <c r="AO301" s="103"/>
      <c r="AQ301" s="103"/>
      <c r="AR301" s="103"/>
      <c r="AS301" s="103"/>
    </row>
    <row r="302" ht="15.75" customHeight="1">
      <c r="AM302" s="103"/>
      <c r="AN302" s="103"/>
      <c r="AO302" s="103"/>
      <c r="AQ302" s="103"/>
      <c r="AR302" s="103"/>
      <c r="AS302" s="103"/>
    </row>
    <row r="303" ht="15.75" customHeight="1">
      <c r="AM303" s="103"/>
      <c r="AN303" s="103"/>
      <c r="AO303" s="103"/>
      <c r="AQ303" s="103"/>
      <c r="AR303" s="103"/>
      <c r="AS303" s="103"/>
    </row>
    <row r="304" ht="15.75" customHeight="1">
      <c r="AM304" s="103"/>
      <c r="AN304" s="103"/>
      <c r="AO304" s="103"/>
      <c r="AQ304" s="103"/>
      <c r="AR304" s="103"/>
      <c r="AS304" s="103"/>
    </row>
    <row r="305" ht="15.75" customHeight="1">
      <c r="AM305" s="103"/>
      <c r="AN305" s="103"/>
      <c r="AO305" s="103"/>
      <c r="AQ305" s="103"/>
      <c r="AR305" s="103"/>
      <c r="AS305" s="103"/>
    </row>
    <row r="306" ht="15.75" customHeight="1">
      <c r="AM306" s="103"/>
      <c r="AN306" s="103"/>
      <c r="AO306" s="103"/>
      <c r="AQ306" s="103"/>
      <c r="AR306" s="103"/>
      <c r="AS306" s="103"/>
    </row>
    <row r="307" ht="15.75" customHeight="1">
      <c r="AM307" s="103"/>
      <c r="AN307" s="103"/>
      <c r="AO307" s="103"/>
      <c r="AQ307" s="103"/>
      <c r="AR307" s="103"/>
      <c r="AS307" s="103"/>
    </row>
    <row r="308" ht="15.75" customHeight="1">
      <c r="AM308" s="103"/>
      <c r="AN308" s="103"/>
      <c r="AO308" s="103"/>
      <c r="AQ308" s="103"/>
      <c r="AR308" s="103"/>
      <c r="AS308" s="103"/>
    </row>
    <row r="309" ht="15.75" customHeight="1">
      <c r="AM309" s="103"/>
      <c r="AN309" s="103"/>
      <c r="AO309" s="103"/>
      <c r="AQ309" s="103"/>
      <c r="AR309" s="103"/>
      <c r="AS309" s="103"/>
    </row>
    <row r="310" ht="15.75" customHeight="1">
      <c r="AM310" s="103"/>
      <c r="AN310" s="103"/>
      <c r="AO310" s="103"/>
      <c r="AQ310" s="103"/>
      <c r="AR310" s="103"/>
      <c r="AS310" s="103"/>
    </row>
    <row r="311" ht="15.75" customHeight="1">
      <c r="AM311" s="103"/>
      <c r="AN311" s="103"/>
      <c r="AO311" s="103"/>
      <c r="AQ311" s="103"/>
      <c r="AR311" s="103"/>
      <c r="AS311" s="103"/>
    </row>
    <row r="312" ht="15.75" customHeight="1">
      <c r="AM312" s="103"/>
      <c r="AN312" s="103"/>
      <c r="AO312" s="103"/>
      <c r="AQ312" s="103"/>
      <c r="AR312" s="103"/>
      <c r="AS312" s="103"/>
    </row>
    <row r="313" ht="15.75" customHeight="1">
      <c r="AM313" s="103"/>
      <c r="AN313" s="103"/>
      <c r="AO313" s="103"/>
      <c r="AQ313" s="103"/>
      <c r="AR313" s="103"/>
      <c r="AS313" s="103"/>
    </row>
    <row r="314" ht="15.75" customHeight="1">
      <c r="AM314" s="103"/>
      <c r="AN314" s="103"/>
      <c r="AO314" s="103"/>
      <c r="AQ314" s="103"/>
      <c r="AR314" s="103"/>
      <c r="AS314" s="103"/>
    </row>
    <row r="315" ht="15.75" customHeight="1">
      <c r="AM315" s="103"/>
      <c r="AN315" s="103"/>
      <c r="AO315" s="103"/>
      <c r="AQ315" s="103"/>
      <c r="AR315" s="103"/>
      <c r="AS315" s="103"/>
    </row>
    <row r="316" ht="15.75" customHeight="1">
      <c r="AM316" s="103"/>
      <c r="AN316" s="103"/>
      <c r="AO316" s="103"/>
      <c r="AQ316" s="103"/>
      <c r="AR316" s="103"/>
      <c r="AS316" s="103"/>
    </row>
    <row r="317" ht="15.75" customHeight="1">
      <c r="AM317" s="103"/>
      <c r="AN317" s="103"/>
      <c r="AO317" s="103"/>
      <c r="AQ317" s="103"/>
      <c r="AR317" s="103"/>
      <c r="AS317" s="103"/>
    </row>
    <row r="318" ht="15.75" customHeight="1">
      <c r="AM318" s="103"/>
      <c r="AN318" s="103"/>
      <c r="AO318" s="103"/>
      <c r="AQ318" s="103"/>
      <c r="AR318" s="103"/>
      <c r="AS318" s="103"/>
    </row>
    <row r="319" ht="15.75" customHeight="1">
      <c r="AM319" s="103"/>
      <c r="AN319" s="103"/>
      <c r="AO319" s="103"/>
      <c r="AQ319" s="103"/>
      <c r="AR319" s="103"/>
      <c r="AS319" s="103"/>
    </row>
    <row r="320" ht="15.75" customHeight="1">
      <c r="AM320" s="103"/>
      <c r="AN320" s="103"/>
      <c r="AO320" s="103"/>
      <c r="AQ320" s="103"/>
      <c r="AR320" s="103"/>
      <c r="AS320" s="103"/>
    </row>
    <row r="321" ht="15.75" customHeight="1">
      <c r="AM321" s="103"/>
      <c r="AN321" s="103"/>
      <c r="AO321" s="103"/>
      <c r="AQ321" s="103"/>
      <c r="AR321" s="103"/>
      <c r="AS321" s="103"/>
    </row>
    <row r="322" ht="15.75" customHeight="1">
      <c r="AM322" s="103"/>
      <c r="AN322" s="103"/>
      <c r="AO322" s="103"/>
      <c r="AQ322" s="103"/>
      <c r="AR322" s="103"/>
      <c r="AS322" s="103"/>
    </row>
    <row r="323" ht="15.75" customHeight="1">
      <c r="AM323" s="103"/>
      <c r="AN323" s="103"/>
      <c r="AO323" s="103"/>
      <c r="AQ323" s="103"/>
      <c r="AR323" s="103"/>
      <c r="AS323" s="103"/>
    </row>
    <row r="324" ht="15.75" customHeight="1">
      <c r="AM324" s="103"/>
      <c r="AN324" s="103"/>
      <c r="AO324" s="103"/>
      <c r="AQ324" s="103"/>
      <c r="AR324" s="103"/>
      <c r="AS324" s="103"/>
    </row>
    <row r="325" ht="15.75" customHeight="1">
      <c r="AM325" s="103"/>
      <c r="AN325" s="103"/>
      <c r="AO325" s="103"/>
      <c r="AQ325" s="103"/>
      <c r="AR325" s="103"/>
      <c r="AS325" s="103"/>
    </row>
    <row r="326" ht="15.75" customHeight="1">
      <c r="AM326" s="103"/>
      <c r="AN326" s="103"/>
      <c r="AO326" s="103"/>
      <c r="AQ326" s="103"/>
      <c r="AR326" s="103"/>
      <c r="AS326" s="103"/>
    </row>
    <row r="327" ht="15.75" customHeight="1">
      <c r="AM327" s="103"/>
      <c r="AN327" s="103"/>
      <c r="AO327" s="103"/>
      <c r="AQ327" s="103"/>
      <c r="AR327" s="103"/>
      <c r="AS327" s="103"/>
    </row>
    <row r="328" ht="15.75" customHeight="1">
      <c r="AM328" s="103"/>
      <c r="AN328" s="103"/>
      <c r="AO328" s="103"/>
      <c r="AQ328" s="103"/>
      <c r="AR328" s="103"/>
      <c r="AS328" s="103"/>
    </row>
    <row r="329" ht="15.75" customHeight="1">
      <c r="AM329" s="103"/>
      <c r="AN329" s="103"/>
      <c r="AO329" s="103"/>
      <c r="AQ329" s="103"/>
      <c r="AR329" s="103"/>
      <c r="AS329" s="103"/>
    </row>
    <row r="330" ht="15.75" customHeight="1">
      <c r="AM330" s="103"/>
      <c r="AN330" s="103"/>
      <c r="AO330" s="103"/>
      <c r="AQ330" s="103"/>
      <c r="AR330" s="103"/>
      <c r="AS330" s="103"/>
    </row>
    <row r="331" ht="15.75" customHeight="1">
      <c r="AM331" s="103"/>
      <c r="AN331" s="103"/>
      <c r="AO331" s="103"/>
      <c r="AQ331" s="103"/>
      <c r="AR331" s="103"/>
      <c r="AS331" s="103"/>
    </row>
    <row r="332" ht="15.75" customHeight="1">
      <c r="AM332" s="103"/>
      <c r="AN332" s="103"/>
      <c r="AO332" s="103"/>
      <c r="AQ332" s="103"/>
      <c r="AR332" s="103"/>
      <c r="AS332" s="103"/>
    </row>
    <row r="333" ht="15.75" customHeight="1">
      <c r="AM333" s="103"/>
      <c r="AN333" s="103"/>
      <c r="AO333" s="103"/>
      <c r="AQ333" s="103"/>
      <c r="AR333" s="103"/>
      <c r="AS333" s="103"/>
    </row>
    <row r="334" ht="15.75" customHeight="1">
      <c r="AM334" s="103"/>
      <c r="AN334" s="103"/>
      <c r="AO334" s="103"/>
      <c r="AQ334" s="103"/>
      <c r="AR334" s="103"/>
      <c r="AS334" s="103"/>
    </row>
    <row r="335" ht="15.75" customHeight="1">
      <c r="AM335" s="103"/>
      <c r="AN335" s="103"/>
      <c r="AO335" s="103"/>
      <c r="AQ335" s="103"/>
      <c r="AR335" s="103"/>
      <c r="AS335" s="103"/>
    </row>
    <row r="336" ht="15.75" customHeight="1">
      <c r="AM336" s="103"/>
      <c r="AN336" s="103"/>
      <c r="AO336" s="103"/>
      <c r="AQ336" s="103"/>
      <c r="AR336" s="103"/>
      <c r="AS336" s="103"/>
    </row>
    <row r="337" ht="15.75" customHeight="1">
      <c r="AM337" s="103"/>
      <c r="AN337" s="103"/>
      <c r="AO337" s="103"/>
      <c r="AQ337" s="103"/>
      <c r="AR337" s="103"/>
      <c r="AS337" s="103"/>
    </row>
    <row r="338" ht="15.75" customHeight="1">
      <c r="AM338" s="103"/>
      <c r="AN338" s="103"/>
      <c r="AO338" s="103"/>
      <c r="AQ338" s="103"/>
      <c r="AR338" s="103"/>
      <c r="AS338" s="103"/>
    </row>
    <row r="339" ht="15.75" customHeight="1">
      <c r="AM339" s="103"/>
      <c r="AN339" s="103"/>
      <c r="AO339" s="103"/>
      <c r="AQ339" s="103"/>
      <c r="AR339" s="103"/>
      <c r="AS339" s="103"/>
    </row>
    <row r="340" ht="15.75" customHeight="1">
      <c r="AM340" s="103"/>
      <c r="AN340" s="103"/>
      <c r="AO340" s="103"/>
      <c r="AQ340" s="103"/>
      <c r="AR340" s="103"/>
      <c r="AS340" s="103"/>
    </row>
    <row r="341" ht="15.75" customHeight="1">
      <c r="AM341" s="103"/>
      <c r="AN341" s="103"/>
      <c r="AO341" s="103"/>
      <c r="AQ341" s="103"/>
      <c r="AR341" s="103"/>
      <c r="AS341" s="103"/>
    </row>
    <row r="342" ht="15.75" customHeight="1">
      <c r="AM342" s="103"/>
      <c r="AN342" s="103"/>
      <c r="AO342" s="103"/>
      <c r="AQ342" s="103"/>
      <c r="AR342" s="103"/>
      <c r="AS342" s="103"/>
    </row>
    <row r="343" ht="15.75" customHeight="1">
      <c r="AM343" s="103"/>
      <c r="AN343" s="103"/>
      <c r="AO343" s="103"/>
      <c r="AQ343" s="103"/>
      <c r="AR343" s="103"/>
      <c r="AS343" s="103"/>
    </row>
    <row r="344" ht="15.75" customHeight="1">
      <c r="AM344" s="103"/>
      <c r="AN344" s="103"/>
      <c r="AO344" s="103"/>
      <c r="AQ344" s="103"/>
      <c r="AR344" s="103"/>
      <c r="AS344" s="103"/>
    </row>
    <row r="345" ht="15.75" customHeight="1">
      <c r="AM345" s="103"/>
      <c r="AN345" s="103"/>
      <c r="AO345" s="103"/>
      <c r="AQ345" s="103"/>
      <c r="AR345" s="103"/>
      <c r="AS345" s="103"/>
    </row>
    <row r="346" ht="15.75" customHeight="1">
      <c r="AM346" s="103"/>
      <c r="AN346" s="103"/>
      <c r="AO346" s="103"/>
      <c r="AQ346" s="103"/>
      <c r="AR346" s="103"/>
      <c r="AS346" s="103"/>
    </row>
    <row r="347" ht="15.75" customHeight="1">
      <c r="AM347" s="103"/>
      <c r="AN347" s="103"/>
      <c r="AO347" s="103"/>
      <c r="AQ347" s="103"/>
      <c r="AR347" s="103"/>
      <c r="AS347" s="103"/>
    </row>
    <row r="348" ht="15.75" customHeight="1">
      <c r="AM348" s="103"/>
      <c r="AN348" s="103"/>
      <c r="AO348" s="103"/>
      <c r="AQ348" s="103"/>
      <c r="AR348" s="103"/>
      <c r="AS348" s="103"/>
    </row>
    <row r="349" ht="15.75" customHeight="1">
      <c r="AM349" s="103"/>
      <c r="AN349" s="103"/>
      <c r="AO349" s="103"/>
      <c r="AQ349" s="103"/>
      <c r="AR349" s="103"/>
      <c r="AS349" s="103"/>
    </row>
    <row r="350" ht="15.75" customHeight="1">
      <c r="AM350" s="103"/>
      <c r="AN350" s="103"/>
      <c r="AO350" s="103"/>
      <c r="AQ350" s="103"/>
      <c r="AR350" s="103"/>
      <c r="AS350" s="103"/>
    </row>
    <row r="351" ht="15.75" customHeight="1">
      <c r="AM351" s="103"/>
      <c r="AN351" s="103"/>
      <c r="AO351" s="103"/>
      <c r="AQ351" s="103"/>
      <c r="AR351" s="103"/>
      <c r="AS351" s="103"/>
    </row>
    <row r="352" ht="15.75" customHeight="1">
      <c r="AM352" s="103"/>
      <c r="AN352" s="103"/>
      <c r="AO352" s="103"/>
      <c r="AQ352" s="103"/>
      <c r="AR352" s="103"/>
      <c r="AS352" s="103"/>
    </row>
    <row r="353" ht="15.75" customHeight="1">
      <c r="AM353" s="103"/>
      <c r="AN353" s="103"/>
      <c r="AO353" s="103"/>
      <c r="AQ353" s="103"/>
      <c r="AR353" s="103"/>
      <c r="AS353" s="103"/>
    </row>
    <row r="354" ht="15.75" customHeight="1">
      <c r="AM354" s="103"/>
      <c r="AN354" s="103"/>
      <c r="AO354" s="103"/>
      <c r="AQ354" s="103"/>
      <c r="AR354" s="103"/>
      <c r="AS354" s="103"/>
    </row>
    <row r="355" ht="15.75" customHeight="1">
      <c r="AM355" s="103"/>
      <c r="AN355" s="103"/>
      <c r="AO355" s="103"/>
      <c r="AQ355" s="103"/>
      <c r="AR355" s="103"/>
      <c r="AS355" s="103"/>
    </row>
    <row r="356" ht="15.75" customHeight="1">
      <c r="AM356" s="103"/>
      <c r="AN356" s="103"/>
      <c r="AO356" s="103"/>
      <c r="AQ356" s="103"/>
      <c r="AR356" s="103"/>
      <c r="AS356" s="103"/>
    </row>
    <row r="357" ht="15.75" customHeight="1">
      <c r="AM357" s="103"/>
      <c r="AN357" s="103"/>
      <c r="AO357" s="103"/>
      <c r="AQ357" s="103"/>
      <c r="AR357" s="103"/>
      <c r="AS357" s="103"/>
    </row>
    <row r="358" ht="15.75" customHeight="1">
      <c r="AM358" s="103"/>
      <c r="AN358" s="103"/>
      <c r="AO358" s="103"/>
      <c r="AQ358" s="103"/>
      <c r="AR358" s="103"/>
      <c r="AS358" s="103"/>
    </row>
    <row r="359" ht="15.75" customHeight="1">
      <c r="AM359" s="103"/>
      <c r="AN359" s="103"/>
      <c r="AO359" s="103"/>
      <c r="AQ359" s="103"/>
      <c r="AR359" s="103"/>
      <c r="AS359" s="103"/>
    </row>
    <row r="360" ht="15.75" customHeight="1">
      <c r="AM360" s="103"/>
      <c r="AN360" s="103"/>
      <c r="AO360" s="103"/>
      <c r="AQ360" s="103"/>
      <c r="AR360" s="103"/>
      <c r="AS360" s="103"/>
    </row>
    <row r="361" ht="15.75" customHeight="1">
      <c r="AM361" s="103"/>
      <c r="AN361" s="103"/>
      <c r="AO361" s="103"/>
      <c r="AQ361" s="103"/>
      <c r="AR361" s="103"/>
      <c r="AS361" s="103"/>
    </row>
    <row r="362" ht="15.75" customHeight="1">
      <c r="AM362" s="103"/>
      <c r="AN362" s="103"/>
      <c r="AO362" s="103"/>
      <c r="AQ362" s="103"/>
      <c r="AR362" s="103"/>
      <c r="AS362" s="103"/>
    </row>
    <row r="363" ht="15.75" customHeight="1">
      <c r="AM363" s="103"/>
      <c r="AN363" s="103"/>
      <c r="AO363" s="103"/>
      <c r="AQ363" s="103"/>
      <c r="AR363" s="103"/>
      <c r="AS363" s="103"/>
    </row>
    <row r="364" ht="15.75" customHeight="1">
      <c r="AM364" s="103"/>
      <c r="AN364" s="103"/>
      <c r="AO364" s="103"/>
      <c r="AQ364" s="103"/>
      <c r="AR364" s="103"/>
      <c r="AS364" s="103"/>
    </row>
    <row r="365" ht="15.75" customHeight="1">
      <c r="AM365" s="103"/>
      <c r="AN365" s="103"/>
      <c r="AO365" s="103"/>
      <c r="AQ365" s="103"/>
      <c r="AR365" s="103"/>
      <c r="AS365" s="103"/>
    </row>
    <row r="366" ht="15.75" customHeight="1">
      <c r="AM366" s="103"/>
      <c r="AN366" s="103"/>
      <c r="AO366" s="103"/>
      <c r="AQ366" s="103"/>
      <c r="AR366" s="103"/>
      <c r="AS366" s="103"/>
    </row>
    <row r="367" ht="15.75" customHeight="1">
      <c r="AM367" s="103"/>
      <c r="AN367" s="103"/>
      <c r="AO367" s="103"/>
      <c r="AQ367" s="103"/>
      <c r="AR367" s="103"/>
      <c r="AS367" s="103"/>
    </row>
    <row r="368" ht="15.75" customHeight="1">
      <c r="AM368" s="103"/>
      <c r="AN368" s="103"/>
      <c r="AO368" s="103"/>
      <c r="AQ368" s="103"/>
      <c r="AR368" s="103"/>
      <c r="AS368" s="103"/>
    </row>
    <row r="369" ht="15.75" customHeight="1">
      <c r="AM369" s="103"/>
      <c r="AN369" s="103"/>
      <c r="AO369" s="103"/>
      <c r="AQ369" s="103"/>
      <c r="AR369" s="103"/>
      <c r="AS369" s="103"/>
    </row>
    <row r="370" ht="15.75" customHeight="1">
      <c r="AM370" s="103"/>
      <c r="AN370" s="103"/>
      <c r="AO370" s="103"/>
      <c r="AQ370" s="103"/>
      <c r="AR370" s="103"/>
      <c r="AS370" s="103"/>
    </row>
    <row r="371" ht="15.75" customHeight="1">
      <c r="AM371" s="103"/>
      <c r="AN371" s="103"/>
      <c r="AO371" s="103"/>
      <c r="AQ371" s="103"/>
      <c r="AR371" s="103"/>
      <c r="AS371" s="103"/>
    </row>
    <row r="372" ht="15.75" customHeight="1">
      <c r="AM372" s="103"/>
      <c r="AN372" s="103"/>
      <c r="AO372" s="103"/>
      <c r="AQ372" s="103"/>
      <c r="AR372" s="103"/>
      <c r="AS372" s="103"/>
    </row>
    <row r="373" ht="15.75" customHeight="1">
      <c r="AM373" s="103"/>
      <c r="AN373" s="103"/>
      <c r="AO373" s="103"/>
      <c r="AQ373" s="103"/>
      <c r="AR373" s="103"/>
      <c r="AS373" s="103"/>
    </row>
    <row r="374" ht="15.75" customHeight="1">
      <c r="AM374" s="103"/>
      <c r="AN374" s="103"/>
      <c r="AO374" s="103"/>
      <c r="AQ374" s="103"/>
      <c r="AR374" s="103"/>
      <c r="AS374" s="103"/>
    </row>
    <row r="375" ht="15.75" customHeight="1">
      <c r="AM375" s="103"/>
      <c r="AN375" s="103"/>
      <c r="AO375" s="103"/>
      <c r="AQ375" s="103"/>
      <c r="AR375" s="103"/>
      <c r="AS375" s="103"/>
    </row>
    <row r="376" ht="15.75" customHeight="1">
      <c r="AM376" s="103"/>
      <c r="AN376" s="103"/>
      <c r="AO376" s="103"/>
      <c r="AQ376" s="103"/>
      <c r="AR376" s="103"/>
      <c r="AS376" s="103"/>
    </row>
    <row r="377" ht="15.75" customHeight="1">
      <c r="AM377" s="103"/>
      <c r="AN377" s="103"/>
      <c r="AO377" s="103"/>
      <c r="AQ377" s="103"/>
      <c r="AR377" s="103"/>
      <c r="AS377" s="103"/>
    </row>
    <row r="378" ht="15.75" customHeight="1">
      <c r="AM378" s="103"/>
      <c r="AN378" s="103"/>
      <c r="AO378" s="103"/>
      <c r="AQ378" s="103"/>
      <c r="AR378" s="103"/>
      <c r="AS378" s="103"/>
    </row>
    <row r="379" ht="15.75" customHeight="1">
      <c r="AM379" s="103"/>
      <c r="AN379" s="103"/>
      <c r="AO379" s="103"/>
      <c r="AQ379" s="103"/>
      <c r="AR379" s="103"/>
      <c r="AS379" s="103"/>
    </row>
    <row r="380" ht="15.75" customHeight="1">
      <c r="AM380" s="103"/>
      <c r="AN380" s="103"/>
      <c r="AO380" s="103"/>
      <c r="AQ380" s="103"/>
      <c r="AR380" s="103"/>
      <c r="AS380" s="103"/>
    </row>
    <row r="381" ht="15.75" customHeight="1">
      <c r="AM381" s="103"/>
      <c r="AN381" s="103"/>
      <c r="AO381" s="103"/>
      <c r="AQ381" s="103"/>
      <c r="AR381" s="103"/>
      <c r="AS381" s="103"/>
    </row>
    <row r="382" ht="15.75" customHeight="1">
      <c r="AM382" s="103"/>
      <c r="AN382" s="103"/>
      <c r="AO382" s="103"/>
      <c r="AQ382" s="103"/>
      <c r="AR382" s="103"/>
      <c r="AS382" s="103"/>
    </row>
    <row r="383" ht="15.75" customHeight="1">
      <c r="AM383" s="103"/>
      <c r="AN383" s="103"/>
      <c r="AO383" s="103"/>
      <c r="AQ383" s="103"/>
      <c r="AR383" s="103"/>
      <c r="AS383" s="103"/>
    </row>
    <row r="384" ht="15.75" customHeight="1">
      <c r="AM384" s="103"/>
      <c r="AN384" s="103"/>
      <c r="AO384" s="103"/>
      <c r="AQ384" s="103"/>
      <c r="AR384" s="103"/>
      <c r="AS384" s="103"/>
    </row>
    <row r="385" ht="15.75" customHeight="1">
      <c r="AM385" s="103"/>
      <c r="AN385" s="103"/>
      <c r="AO385" s="103"/>
      <c r="AQ385" s="103"/>
      <c r="AR385" s="103"/>
      <c r="AS385" s="103"/>
    </row>
    <row r="386" ht="15.75" customHeight="1">
      <c r="AM386" s="103"/>
      <c r="AN386" s="103"/>
      <c r="AO386" s="103"/>
      <c r="AQ386" s="103"/>
      <c r="AR386" s="103"/>
      <c r="AS386" s="103"/>
    </row>
    <row r="387" ht="15.75" customHeight="1">
      <c r="AM387" s="103"/>
      <c r="AN387" s="103"/>
      <c r="AO387" s="103"/>
      <c r="AQ387" s="103"/>
      <c r="AR387" s="103"/>
      <c r="AS387" s="103"/>
    </row>
    <row r="388" ht="15.75" customHeight="1">
      <c r="AM388" s="103"/>
      <c r="AN388" s="103"/>
      <c r="AO388" s="103"/>
      <c r="AQ388" s="103"/>
      <c r="AR388" s="103"/>
      <c r="AS388" s="103"/>
    </row>
    <row r="389" ht="15.75" customHeight="1">
      <c r="AM389" s="103"/>
      <c r="AN389" s="103"/>
      <c r="AO389" s="103"/>
      <c r="AQ389" s="103"/>
      <c r="AR389" s="103"/>
      <c r="AS389" s="103"/>
    </row>
    <row r="390" ht="15.75" customHeight="1">
      <c r="AM390" s="103"/>
      <c r="AN390" s="103"/>
      <c r="AO390" s="103"/>
      <c r="AQ390" s="103"/>
      <c r="AR390" s="103"/>
      <c r="AS390" s="103"/>
    </row>
    <row r="391" ht="15.75" customHeight="1">
      <c r="AM391" s="103"/>
      <c r="AN391" s="103"/>
      <c r="AO391" s="103"/>
      <c r="AQ391" s="103"/>
      <c r="AR391" s="103"/>
      <c r="AS391" s="103"/>
    </row>
    <row r="392" ht="15.75" customHeight="1">
      <c r="AM392" s="103"/>
      <c r="AN392" s="103"/>
      <c r="AO392" s="103"/>
      <c r="AQ392" s="103"/>
      <c r="AR392" s="103"/>
      <c r="AS392" s="103"/>
    </row>
    <row r="393" ht="15.75" customHeight="1">
      <c r="AM393" s="103"/>
      <c r="AN393" s="103"/>
      <c r="AO393" s="103"/>
      <c r="AQ393" s="103"/>
      <c r="AR393" s="103"/>
      <c r="AS393" s="103"/>
    </row>
    <row r="394" ht="15.75" customHeight="1">
      <c r="AM394" s="103"/>
      <c r="AN394" s="103"/>
      <c r="AO394" s="103"/>
      <c r="AQ394" s="103"/>
      <c r="AR394" s="103"/>
      <c r="AS394" s="103"/>
    </row>
    <row r="395" ht="15.75" customHeight="1">
      <c r="AM395" s="103"/>
      <c r="AN395" s="103"/>
      <c r="AO395" s="103"/>
      <c r="AQ395" s="103"/>
      <c r="AR395" s="103"/>
      <c r="AS395" s="103"/>
    </row>
    <row r="396" ht="15.75" customHeight="1">
      <c r="AM396" s="103"/>
      <c r="AN396" s="103"/>
      <c r="AO396" s="103"/>
      <c r="AQ396" s="103"/>
      <c r="AR396" s="103"/>
      <c r="AS396" s="103"/>
    </row>
    <row r="397" ht="15.75" customHeight="1">
      <c r="AM397" s="103"/>
      <c r="AN397" s="103"/>
      <c r="AO397" s="103"/>
      <c r="AQ397" s="103"/>
      <c r="AR397" s="103"/>
      <c r="AS397" s="103"/>
    </row>
    <row r="398" ht="15.75" customHeight="1">
      <c r="AM398" s="103"/>
      <c r="AN398" s="103"/>
      <c r="AO398" s="103"/>
      <c r="AQ398" s="103"/>
      <c r="AR398" s="103"/>
      <c r="AS398" s="103"/>
    </row>
    <row r="399" ht="15.75" customHeight="1">
      <c r="AM399" s="103"/>
      <c r="AN399" s="103"/>
      <c r="AO399" s="103"/>
      <c r="AQ399" s="103"/>
      <c r="AR399" s="103"/>
      <c r="AS399" s="103"/>
    </row>
    <row r="400" ht="15.75" customHeight="1">
      <c r="AM400" s="103"/>
      <c r="AN400" s="103"/>
      <c r="AO400" s="103"/>
      <c r="AQ400" s="103"/>
      <c r="AR400" s="103"/>
      <c r="AS400" s="103"/>
    </row>
    <row r="401" ht="15.75" customHeight="1">
      <c r="AM401" s="103"/>
      <c r="AN401" s="103"/>
      <c r="AO401" s="103"/>
      <c r="AQ401" s="103"/>
      <c r="AR401" s="103"/>
      <c r="AS401" s="103"/>
    </row>
    <row r="402" ht="15.75" customHeight="1">
      <c r="AM402" s="103"/>
      <c r="AN402" s="103"/>
      <c r="AO402" s="103"/>
      <c r="AQ402" s="103"/>
      <c r="AR402" s="103"/>
      <c r="AS402" s="103"/>
    </row>
    <row r="403" ht="15.75" customHeight="1">
      <c r="AM403" s="103"/>
      <c r="AN403" s="103"/>
      <c r="AO403" s="103"/>
      <c r="AQ403" s="103"/>
      <c r="AR403" s="103"/>
      <c r="AS403" s="103"/>
    </row>
    <row r="404" ht="15.75" customHeight="1">
      <c r="AM404" s="103"/>
      <c r="AN404" s="103"/>
      <c r="AO404" s="103"/>
      <c r="AQ404" s="103"/>
      <c r="AR404" s="103"/>
      <c r="AS404" s="103"/>
    </row>
    <row r="405" ht="15.75" customHeight="1">
      <c r="AM405" s="103"/>
      <c r="AN405" s="103"/>
      <c r="AO405" s="103"/>
      <c r="AQ405" s="103"/>
      <c r="AR405" s="103"/>
      <c r="AS405" s="103"/>
    </row>
    <row r="406" ht="15.75" customHeight="1">
      <c r="AM406" s="103"/>
      <c r="AN406" s="103"/>
      <c r="AO406" s="103"/>
      <c r="AQ406" s="103"/>
      <c r="AR406" s="103"/>
      <c r="AS406" s="103"/>
    </row>
    <row r="407" ht="15.75" customHeight="1">
      <c r="AM407" s="103"/>
      <c r="AN407" s="103"/>
      <c r="AO407" s="103"/>
      <c r="AQ407" s="103"/>
      <c r="AR407" s="103"/>
      <c r="AS407" s="103"/>
    </row>
    <row r="408" ht="15.75" customHeight="1">
      <c r="AM408" s="103"/>
      <c r="AN408" s="103"/>
      <c r="AO408" s="103"/>
      <c r="AQ408" s="103"/>
      <c r="AR408" s="103"/>
      <c r="AS408" s="103"/>
    </row>
    <row r="409" ht="15.75" customHeight="1">
      <c r="AM409" s="103"/>
      <c r="AN409" s="103"/>
      <c r="AO409" s="103"/>
      <c r="AQ409" s="103"/>
      <c r="AR409" s="103"/>
      <c r="AS409" s="103"/>
    </row>
    <row r="410" ht="15.75" customHeight="1">
      <c r="AM410" s="103"/>
      <c r="AN410" s="103"/>
      <c r="AO410" s="103"/>
      <c r="AQ410" s="103"/>
      <c r="AR410" s="103"/>
      <c r="AS410" s="103"/>
    </row>
    <row r="411" ht="15.75" customHeight="1">
      <c r="AM411" s="103"/>
      <c r="AN411" s="103"/>
      <c r="AO411" s="103"/>
      <c r="AQ411" s="103"/>
      <c r="AR411" s="103"/>
      <c r="AS411" s="103"/>
    </row>
    <row r="412" ht="15.75" customHeight="1">
      <c r="AM412" s="103"/>
      <c r="AN412" s="103"/>
      <c r="AO412" s="103"/>
      <c r="AQ412" s="103"/>
      <c r="AR412" s="103"/>
      <c r="AS412" s="103"/>
    </row>
    <row r="413" ht="15.75" customHeight="1">
      <c r="AM413" s="103"/>
      <c r="AN413" s="103"/>
      <c r="AO413" s="103"/>
      <c r="AQ413" s="103"/>
      <c r="AR413" s="103"/>
      <c r="AS413" s="103"/>
    </row>
    <row r="414" ht="15.75" customHeight="1">
      <c r="AM414" s="103"/>
      <c r="AN414" s="103"/>
      <c r="AO414" s="103"/>
      <c r="AQ414" s="103"/>
      <c r="AR414" s="103"/>
      <c r="AS414" s="103"/>
    </row>
    <row r="415" ht="15.75" customHeight="1">
      <c r="AM415" s="103"/>
      <c r="AN415" s="103"/>
      <c r="AO415" s="103"/>
      <c r="AQ415" s="103"/>
      <c r="AR415" s="103"/>
      <c r="AS415" s="103"/>
    </row>
    <row r="416" ht="15.75" customHeight="1">
      <c r="AM416" s="103"/>
      <c r="AN416" s="103"/>
      <c r="AO416" s="103"/>
      <c r="AQ416" s="103"/>
      <c r="AR416" s="103"/>
      <c r="AS416" s="103"/>
    </row>
    <row r="417" ht="15.75" customHeight="1">
      <c r="AM417" s="103"/>
      <c r="AN417" s="103"/>
      <c r="AO417" s="103"/>
      <c r="AQ417" s="103"/>
      <c r="AR417" s="103"/>
      <c r="AS417" s="103"/>
    </row>
    <row r="418" ht="15.75" customHeight="1">
      <c r="AM418" s="103"/>
      <c r="AN418" s="103"/>
      <c r="AO418" s="103"/>
      <c r="AQ418" s="103"/>
      <c r="AR418" s="103"/>
      <c r="AS418" s="103"/>
    </row>
    <row r="419" ht="15.75" customHeight="1">
      <c r="AM419" s="103"/>
      <c r="AN419" s="103"/>
      <c r="AO419" s="103"/>
      <c r="AQ419" s="103"/>
      <c r="AR419" s="103"/>
      <c r="AS419" s="103"/>
    </row>
    <row r="420" ht="15.75" customHeight="1">
      <c r="AM420" s="103"/>
      <c r="AN420" s="103"/>
      <c r="AO420" s="103"/>
      <c r="AQ420" s="103"/>
      <c r="AR420" s="103"/>
      <c r="AS420" s="103"/>
    </row>
    <row r="421" ht="15.75" customHeight="1">
      <c r="AM421" s="103"/>
      <c r="AN421" s="103"/>
      <c r="AO421" s="103"/>
      <c r="AQ421" s="103"/>
      <c r="AR421" s="103"/>
      <c r="AS421" s="103"/>
    </row>
    <row r="422" ht="15.75" customHeight="1">
      <c r="AM422" s="103"/>
      <c r="AN422" s="103"/>
      <c r="AO422" s="103"/>
      <c r="AQ422" s="103"/>
      <c r="AR422" s="103"/>
      <c r="AS422" s="103"/>
    </row>
    <row r="423" ht="15.75" customHeight="1">
      <c r="AM423" s="103"/>
      <c r="AN423" s="103"/>
      <c r="AO423" s="103"/>
      <c r="AQ423" s="103"/>
      <c r="AR423" s="103"/>
      <c r="AS423" s="103"/>
    </row>
    <row r="424" ht="15.75" customHeight="1">
      <c r="AM424" s="103"/>
      <c r="AN424" s="103"/>
      <c r="AO424" s="103"/>
      <c r="AQ424" s="103"/>
      <c r="AR424" s="103"/>
      <c r="AS424" s="103"/>
    </row>
    <row r="425" ht="15.75" customHeight="1">
      <c r="AM425" s="103"/>
      <c r="AN425" s="103"/>
      <c r="AO425" s="103"/>
      <c r="AQ425" s="103"/>
      <c r="AR425" s="103"/>
      <c r="AS425" s="103"/>
    </row>
    <row r="426" ht="15.75" customHeight="1">
      <c r="AM426" s="103"/>
      <c r="AN426" s="103"/>
      <c r="AO426" s="103"/>
      <c r="AQ426" s="103"/>
      <c r="AR426" s="103"/>
      <c r="AS426" s="103"/>
    </row>
    <row r="427" ht="15.75" customHeight="1">
      <c r="AM427" s="103"/>
      <c r="AN427" s="103"/>
      <c r="AO427" s="103"/>
      <c r="AQ427" s="103"/>
      <c r="AR427" s="103"/>
      <c r="AS427" s="103"/>
    </row>
    <row r="428" ht="15.75" customHeight="1">
      <c r="AM428" s="103"/>
      <c r="AN428" s="103"/>
      <c r="AO428" s="103"/>
      <c r="AQ428" s="103"/>
      <c r="AR428" s="103"/>
      <c r="AS428" s="103"/>
    </row>
    <row r="429" ht="15.75" customHeight="1">
      <c r="AM429" s="103"/>
      <c r="AN429" s="103"/>
      <c r="AO429" s="103"/>
      <c r="AQ429" s="103"/>
      <c r="AR429" s="103"/>
      <c r="AS429" s="103"/>
    </row>
    <row r="430" ht="15.75" customHeight="1">
      <c r="AM430" s="103"/>
      <c r="AN430" s="103"/>
      <c r="AO430" s="103"/>
      <c r="AQ430" s="103"/>
      <c r="AR430" s="103"/>
      <c r="AS430" s="103"/>
    </row>
    <row r="431" ht="15.75" customHeight="1">
      <c r="AM431" s="103"/>
      <c r="AN431" s="103"/>
      <c r="AO431" s="103"/>
      <c r="AQ431" s="103"/>
      <c r="AR431" s="103"/>
      <c r="AS431" s="103"/>
    </row>
    <row r="432" ht="15.75" customHeight="1">
      <c r="AM432" s="103"/>
      <c r="AN432" s="103"/>
      <c r="AO432" s="103"/>
      <c r="AQ432" s="103"/>
      <c r="AR432" s="103"/>
      <c r="AS432" s="103"/>
    </row>
    <row r="433" ht="15.75" customHeight="1">
      <c r="AM433" s="103"/>
      <c r="AN433" s="103"/>
      <c r="AO433" s="103"/>
      <c r="AQ433" s="103"/>
      <c r="AR433" s="103"/>
      <c r="AS433" s="103"/>
    </row>
    <row r="434" ht="15.75" customHeight="1">
      <c r="AM434" s="103"/>
      <c r="AN434" s="103"/>
      <c r="AO434" s="103"/>
      <c r="AQ434" s="103"/>
      <c r="AR434" s="103"/>
      <c r="AS434" s="103"/>
    </row>
    <row r="435" ht="15.75" customHeight="1">
      <c r="AM435" s="103"/>
      <c r="AN435" s="103"/>
      <c r="AO435" s="103"/>
      <c r="AQ435" s="103"/>
      <c r="AR435" s="103"/>
      <c r="AS435" s="103"/>
    </row>
    <row r="436" ht="15.75" customHeight="1">
      <c r="AM436" s="103"/>
      <c r="AN436" s="103"/>
      <c r="AO436" s="103"/>
      <c r="AQ436" s="103"/>
      <c r="AR436" s="103"/>
      <c r="AS436" s="103"/>
    </row>
    <row r="437" ht="15.75" customHeight="1">
      <c r="AM437" s="103"/>
      <c r="AN437" s="103"/>
      <c r="AO437" s="103"/>
      <c r="AQ437" s="103"/>
      <c r="AR437" s="103"/>
      <c r="AS437" s="103"/>
    </row>
    <row r="438" ht="15.75" customHeight="1">
      <c r="AM438" s="103"/>
      <c r="AN438" s="103"/>
      <c r="AO438" s="103"/>
      <c r="AQ438" s="103"/>
      <c r="AR438" s="103"/>
      <c r="AS438" s="103"/>
    </row>
    <row r="439" ht="15.75" customHeight="1">
      <c r="AM439" s="103"/>
      <c r="AN439" s="103"/>
      <c r="AO439" s="103"/>
      <c r="AQ439" s="103"/>
      <c r="AR439" s="103"/>
      <c r="AS439" s="103"/>
    </row>
    <row r="440" ht="15.75" customHeight="1">
      <c r="AM440" s="103"/>
      <c r="AN440" s="103"/>
      <c r="AO440" s="103"/>
      <c r="AQ440" s="103"/>
      <c r="AR440" s="103"/>
      <c r="AS440" s="103"/>
    </row>
    <row r="441" ht="15.75" customHeight="1">
      <c r="AM441" s="103"/>
      <c r="AN441" s="103"/>
      <c r="AO441" s="103"/>
      <c r="AQ441" s="103"/>
      <c r="AR441" s="103"/>
      <c r="AS441" s="103"/>
    </row>
    <row r="442" ht="15.75" customHeight="1">
      <c r="AM442" s="103"/>
      <c r="AN442" s="103"/>
      <c r="AO442" s="103"/>
      <c r="AQ442" s="103"/>
      <c r="AR442" s="103"/>
      <c r="AS442" s="103"/>
    </row>
    <row r="443" ht="15.75" customHeight="1">
      <c r="AM443" s="103"/>
      <c r="AN443" s="103"/>
      <c r="AO443" s="103"/>
      <c r="AQ443" s="103"/>
      <c r="AR443" s="103"/>
      <c r="AS443" s="103"/>
    </row>
    <row r="444" ht="15.75" customHeight="1">
      <c r="AM444" s="103"/>
      <c r="AN444" s="103"/>
      <c r="AO444" s="103"/>
      <c r="AQ444" s="103"/>
      <c r="AR444" s="103"/>
      <c r="AS444" s="103"/>
    </row>
    <row r="445" ht="15.75" customHeight="1">
      <c r="AM445" s="103"/>
      <c r="AN445" s="103"/>
      <c r="AO445" s="103"/>
      <c r="AQ445" s="103"/>
      <c r="AR445" s="103"/>
      <c r="AS445" s="103"/>
    </row>
    <row r="446" ht="15.75" customHeight="1">
      <c r="AM446" s="103"/>
      <c r="AN446" s="103"/>
      <c r="AO446" s="103"/>
      <c r="AQ446" s="103"/>
      <c r="AR446" s="103"/>
      <c r="AS446" s="103"/>
    </row>
    <row r="447" ht="15.75" customHeight="1">
      <c r="AM447" s="103"/>
      <c r="AN447" s="103"/>
      <c r="AO447" s="103"/>
      <c r="AQ447" s="103"/>
      <c r="AR447" s="103"/>
      <c r="AS447" s="103"/>
    </row>
    <row r="448" ht="15.75" customHeight="1">
      <c r="AM448" s="103"/>
      <c r="AN448" s="103"/>
      <c r="AO448" s="103"/>
      <c r="AQ448" s="103"/>
      <c r="AR448" s="103"/>
      <c r="AS448" s="103"/>
    </row>
    <row r="449" ht="15.75" customHeight="1">
      <c r="AM449" s="103"/>
      <c r="AN449" s="103"/>
      <c r="AO449" s="103"/>
      <c r="AQ449" s="103"/>
      <c r="AR449" s="103"/>
      <c r="AS449" s="103"/>
    </row>
    <row r="450" ht="15.75" customHeight="1">
      <c r="AM450" s="103"/>
      <c r="AN450" s="103"/>
      <c r="AO450" s="103"/>
      <c r="AQ450" s="103"/>
      <c r="AR450" s="103"/>
      <c r="AS450" s="103"/>
    </row>
    <row r="451" ht="15.75" customHeight="1">
      <c r="AM451" s="103"/>
      <c r="AN451" s="103"/>
      <c r="AO451" s="103"/>
      <c r="AQ451" s="103"/>
      <c r="AR451" s="103"/>
      <c r="AS451" s="103"/>
    </row>
    <row r="452" ht="15.75" customHeight="1">
      <c r="AM452" s="103"/>
      <c r="AN452" s="103"/>
      <c r="AO452" s="103"/>
      <c r="AQ452" s="103"/>
      <c r="AR452" s="103"/>
      <c r="AS452" s="103"/>
    </row>
    <row r="453" ht="15.75" customHeight="1">
      <c r="AM453" s="103"/>
      <c r="AN453" s="103"/>
      <c r="AO453" s="103"/>
      <c r="AQ453" s="103"/>
      <c r="AR453" s="103"/>
      <c r="AS453" s="103"/>
    </row>
    <row r="454" ht="15.75" customHeight="1">
      <c r="AM454" s="103"/>
      <c r="AN454" s="103"/>
      <c r="AO454" s="103"/>
      <c r="AQ454" s="103"/>
      <c r="AR454" s="103"/>
      <c r="AS454" s="103"/>
    </row>
    <row r="455" ht="15.75" customHeight="1">
      <c r="AM455" s="103"/>
      <c r="AN455" s="103"/>
      <c r="AO455" s="103"/>
      <c r="AQ455" s="103"/>
      <c r="AR455" s="103"/>
      <c r="AS455" s="103"/>
    </row>
    <row r="456" ht="15.75" customHeight="1">
      <c r="AM456" s="103"/>
      <c r="AN456" s="103"/>
      <c r="AO456" s="103"/>
      <c r="AQ456" s="103"/>
      <c r="AR456" s="103"/>
      <c r="AS456" s="103"/>
    </row>
    <row r="457" ht="15.75" customHeight="1">
      <c r="AM457" s="103"/>
      <c r="AN457" s="103"/>
      <c r="AO457" s="103"/>
      <c r="AQ457" s="103"/>
      <c r="AR457" s="103"/>
      <c r="AS457" s="103"/>
    </row>
    <row r="458" ht="15.75" customHeight="1">
      <c r="AM458" s="103"/>
      <c r="AN458" s="103"/>
      <c r="AO458" s="103"/>
      <c r="AQ458" s="103"/>
      <c r="AR458" s="103"/>
      <c r="AS458" s="103"/>
    </row>
    <row r="459" ht="15.75" customHeight="1">
      <c r="AM459" s="103"/>
      <c r="AN459" s="103"/>
      <c r="AO459" s="103"/>
      <c r="AQ459" s="103"/>
      <c r="AR459" s="103"/>
      <c r="AS459" s="103"/>
    </row>
    <row r="460" ht="15.75" customHeight="1">
      <c r="AM460" s="103"/>
      <c r="AN460" s="103"/>
      <c r="AO460" s="103"/>
      <c r="AQ460" s="103"/>
      <c r="AR460" s="103"/>
      <c r="AS460" s="103"/>
    </row>
    <row r="461" ht="15.75" customHeight="1">
      <c r="AM461" s="103"/>
      <c r="AN461" s="103"/>
      <c r="AO461" s="103"/>
      <c r="AQ461" s="103"/>
      <c r="AR461" s="103"/>
      <c r="AS461" s="103"/>
    </row>
    <row r="462" ht="15.75" customHeight="1">
      <c r="AM462" s="103"/>
      <c r="AN462" s="103"/>
      <c r="AO462" s="103"/>
      <c r="AQ462" s="103"/>
      <c r="AR462" s="103"/>
      <c r="AS462" s="103"/>
    </row>
    <row r="463" ht="15.75" customHeight="1">
      <c r="AM463" s="103"/>
      <c r="AN463" s="103"/>
      <c r="AO463" s="103"/>
      <c r="AQ463" s="103"/>
      <c r="AR463" s="103"/>
      <c r="AS463" s="103"/>
    </row>
    <row r="464" ht="15.75" customHeight="1">
      <c r="AM464" s="103"/>
      <c r="AN464" s="103"/>
      <c r="AO464" s="103"/>
      <c r="AQ464" s="103"/>
      <c r="AR464" s="103"/>
      <c r="AS464" s="103"/>
    </row>
    <row r="465" ht="15.75" customHeight="1">
      <c r="AM465" s="103"/>
      <c r="AN465" s="103"/>
      <c r="AO465" s="103"/>
      <c r="AQ465" s="103"/>
      <c r="AR465" s="103"/>
      <c r="AS465" s="103"/>
    </row>
    <row r="466" ht="15.75" customHeight="1">
      <c r="AM466" s="103"/>
      <c r="AN466" s="103"/>
      <c r="AO466" s="103"/>
      <c r="AQ466" s="103"/>
      <c r="AR466" s="103"/>
      <c r="AS466" s="103"/>
    </row>
    <row r="467" ht="15.75" customHeight="1">
      <c r="AM467" s="103"/>
      <c r="AN467" s="103"/>
      <c r="AO467" s="103"/>
      <c r="AQ467" s="103"/>
      <c r="AR467" s="103"/>
      <c r="AS467" s="103"/>
    </row>
    <row r="468" ht="15.75" customHeight="1">
      <c r="AM468" s="103"/>
      <c r="AN468" s="103"/>
      <c r="AO468" s="103"/>
      <c r="AQ468" s="103"/>
      <c r="AR468" s="103"/>
      <c r="AS468" s="103"/>
    </row>
    <row r="469" ht="15.75" customHeight="1">
      <c r="AM469" s="103"/>
      <c r="AN469" s="103"/>
      <c r="AO469" s="103"/>
      <c r="AQ469" s="103"/>
      <c r="AR469" s="103"/>
      <c r="AS469" s="103"/>
    </row>
    <row r="470" ht="15.75" customHeight="1">
      <c r="AM470" s="103"/>
      <c r="AN470" s="103"/>
      <c r="AO470" s="103"/>
      <c r="AQ470" s="103"/>
      <c r="AR470" s="103"/>
      <c r="AS470" s="103"/>
    </row>
    <row r="471" ht="15.75" customHeight="1">
      <c r="AM471" s="103"/>
      <c r="AN471" s="103"/>
      <c r="AO471" s="103"/>
      <c r="AQ471" s="103"/>
      <c r="AR471" s="103"/>
      <c r="AS471" s="103"/>
    </row>
    <row r="472" ht="15.75" customHeight="1">
      <c r="AM472" s="103"/>
      <c r="AN472" s="103"/>
      <c r="AO472" s="103"/>
      <c r="AQ472" s="103"/>
      <c r="AR472" s="103"/>
      <c r="AS472" s="103"/>
    </row>
    <row r="473" ht="15.75" customHeight="1">
      <c r="AM473" s="103"/>
      <c r="AN473" s="103"/>
      <c r="AO473" s="103"/>
      <c r="AQ473" s="103"/>
      <c r="AR473" s="103"/>
      <c r="AS473" s="103"/>
    </row>
    <row r="474" ht="15.75" customHeight="1">
      <c r="AM474" s="103"/>
      <c r="AN474" s="103"/>
      <c r="AO474" s="103"/>
      <c r="AQ474" s="103"/>
      <c r="AR474" s="103"/>
      <c r="AS474" s="103"/>
    </row>
    <row r="475" ht="15.75" customHeight="1">
      <c r="AM475" s="103"/>
      <c r="AN475" s="103"/>
      <c r="AO475" s="103"/>
      <c r="AQ475" s="103"/>
      <c r="AR475" s="103"/>
      <c r="AS475" s="103"/>
    </row>
    <row r="476" ht="15.75" customHeight="1">
      <c r="AM476" s="103"/>
      <c r="AN476" s="103"/>
      <c r="AO476" s="103"/>
      <c r="AQ476" s="103"/>
      <c r="AR476" s="103"/>
      <c r="AS476" s="103"/>
    </row>
    <row r="477" ht="15.75" customHeight="1">
      <c r="AM477" s="103"/>
      <c r="AN477" s="103"/>
      <c r="AO477" s="103"/>
      <c r="AQ477" s="103"/>
      <c r="AR477" s="103"/>
      <c r="AS477" s="103"/>
    </row>
    <row r="478" ht="15.75" customHeight="1">
      <c r="AM478" s="103"/>
      <c r="AN478" s="103"/>
      <c r="AO478" s="103"/>
      <c r="AQ478" s="103"/>
      <c r="AR478" s="103"/>
      <c r="AS478" s="103"/>
    </row>
    <row r="479" ht="15.75" customHeight="1">
      <c r="AM479" s="103"/>
      <c r="AN479" s="103"/>
      <c r="AO479" s="103"/>
      <c r="AQ479" s="103"/>
      <c r="AR479" s="103"/>
      <c r="AS479" s="103"/>
    </row>
    <row r="480" ht="15.75" customHeight="1">
      <c r="AM480" s="103"/>
      <c r="AN480" s="103"/>
      <c r="AO480" s="103"/>
      <c r="AQ480" s="103"/>
      <c r="AR480" s="103"/>
      <c r="AS480" s="103"/>
    </row>
    <row r="481" ht="15.75" customHeight="1">
      <c r="AM481" s="103"/>
      <c r="AN481" s="103"/>
      <c r="AO481" s="103"/>
      <c r="AQ481" s="103"/>
      <c r="AR481" s="103"/>
      <c r="AS481" s="103"/>
    </row>
    <row r="482" ht="15.75" customHeight="1">
      <c r="AM482" s="103"/>
      <c r="AN482" s="103"/>
      <c r="AO482" s="103"/>
      <c r="AQ482" s="103"/>
      <c r="AR482" s="103"/>
      <c r="AS482" s="103"/>
    </row>
    <row r="483" ht="15.75" customHeight="1">
      <c r="AM483" s="103"/>
      <c r="AN483" s="103"/>
      <c r="AO483" s="103"/>
      <c r="AQ483" s="103"/>
      <c r="AR483" s="103"/>
      <c r="AS483" s="103"/>
    </row>
    <row r="484" ht="15.75" customHeight="1">
      <c r="AM484" s="103"/>
      <c r="AN484" s="103"/>
      <c r="AO484" s="103"/>
      <c r="AQ484" s="103"/>
      <c r="AR484" s="103"/>
      <c r="AS484" s="103"/>
    </row>
    <row r="485" ht="15.75" customHeight="1">
      <c r="AM485" s="103"/>
      <c r="AN485" s="103"/>
      <c r="AO485" s="103"/>
      <c r="AQ485" s="103"/>
      <c r="AR485" s="103"/>
      <c r="AS485" s="103"/>
    </row>
    <row r="486" ht="15.75" customHeight="1">
      <c r="AM486" s="103"/>
      <c r="AN486" s="103"/>
      <c r="AO486" s="103"/>
      <c r="AQ486" s="103"/>
      <c r="AR486" s="103"/>
      <c r="AS486" s="103"/>
    </row>
    <row r="487" ht="15.75" customHeight="1">
      <c r="AM487" s="103"/>
      <c r="AN487" s="103"/>
      <c r="AO487" s="103"/>
      <c r="AQ487" s="103"/>
      <c r="AR487" s="103"/>
      <c r="AS487" s="103"/>
    </row>
    <row r="488" ht="15.75" customHeight="1">
      <c r="AM488" s="103"/>
      <c r="AN488" s="103"/>
      <c r="AO488" s="103"/>
      <c r="AQ488" s="103"/>
      <c r="AR488" s="103"/>
      <c r="AS488" s="103"/>
    </row>
    <row r="489" ht="15.75" customHeight="1">
      <c r="AM489" s="103"/>
      <c r="AN489" s="103"/>
      <c r="AO489" s="103"/>
      <c r="AQ489" s="103"/>
      <c r="AR489" s="103"/>
      <c r="AS489" s="103"/>
    </row>
    <row r="490" ht="15.75" customHeight="1">
      <c r="AM490" s="103"/>
      <c r="AN490" s="103"/>
      <c r="AO490" s="103"/>
      <c r="AQ490" s="103"/>
      <c r="AR490" s="103"/>
      <c r="AS490" s="103"/>
    </row>
    <row r="491" ht="15.75" customHeight="1">
      <c r="AM491" s="103"/>
      <c r="AN491" s="103"/>
      <c r="AO491" s="103"/>
      <c r="AQ491" s="103"/>
      <c r="AR491" s="103"/>
      <c r="AS491" s="103"/>
    </row>
    <row r="492" ht="15.75" customHeight="1">
      <c r="AM492" s="103"/>
      <c r="AN492" s="103"/>
      <c r="AO492" s="103"/>
      <c r="AQ492" s="103"/>
      <c r="AR492" s="103"/>
      <c r="AS492" s="103"/>
    </row>
    <row r="493" ht="15.75" customHeight="1">
      <c r="AM493" s="103"/>
      <c r="AN493" s="103"/>
      <c r="AO493" s="103"/>
      <c r="AQ493" s="103"/>
      <c r="AR493" s="103"/>
      <c r="AS493" s="103"/>
    </row>
    <row r="494" ht="15.75" customHeight="1">
      <c r="AM494" s="103"/>
      <c r="AN494" s="103"/>
      <c r="AO494" s="103"/>
      <c r="AQ494" s="103"/>
      <c r="AR494" s="103"/>
      <c r="AS494" s="103"/>
    </row>
    <row r="495" ht="15.75" customHeight="1">
      <c r="AM495" s="103"/>
      <c r="AN495" s="103"/>
      <c r="AO495" s="103"/>
      <c r="AQ495" s="103"/>
      <c r="AR495" s="103"/>
      <c r="AS495" s="103"/>
    </row>
    <row r="496" ht="15.75" customHeight="1">
      <c r="AM496" s="103"/>
      <c r="AN496" s="103"/>
      <c r="AO496" s="103"/>
      <c r="AQ496" s="103"/>
      <c r="AR496" s="103"/>
      <c r="AS496" s="103"/>
    </row>
    <row r="497" ht="15.75" customHeight="1">
      <c r="AM497" s="103"/>
      <c r="AN497" s="103"/>
      <c r="AO497" s="103"/>
      <c r="AQ497" s="103"/>
      <c r="AR497" s="103"/>
      <c r="AS497" s="103"/>
    </row>
    <row r="498" ht="15.75" customHeight="1">
      <c r="AM498" s="103"/>
      <c r="AN498" s="103"/>
      <c r="AO498" s="103"/>
      <c r="AQ498" s="103"/>
      <c r="AR498" s="103"/>
      <c r="AS498" s="103"/>
    </row>
    <row r="499" ht="15.75" customHeight="1">
      <c r="AM499" s="103"/>
      <c r="AN499" s="103"/>
      <c r="AO499" s="103"/>
      <c r="AQ499" s="103"/>
      <c r="AR499" s="103"/>
      <c r="AS499" s="103"/>
    </row>
    <row r="500" ht="15.75" customHeight="1">
      <c r="AM500" s="103"/>
      <c r="AN500" s="103"/>
      <c r="AO500" s="103"/>
      <c r="AQ500" s="103"/>
      <c r="AR500" s="103"/>
      <c r="AS500" s="103"/>
    </row>
    <row r="501" ht="15.75" customHeight="1">
      <c r="AM501" s="103"/>
      <c r="AN501" s="103"/>
      <c r="AO501" s="103"/>
      <c r="AQ501" s="103"/>
      <c r="AR501" s="103"/>
      <c r="AS501" s="103"/>
    </row>
    <row r="502" ht="15.75" customHeight="1">
      <c r="AM502" s="103"/>
      <c r="AN502" s="103"/>
      <c r="AO502" s="103"/>
      <c r="AQ502" s="103"/>
      <c r="AR502" s="103"/>
      <c r="AS502" s="103"/>
    </row>
    <row r="503" ht="15.75" customHeight="1">
      <c r="AM503" s="103"/>
      <c r="AN503" s="103"/>
      <c r="AO503" s="103"/>
      <c r="AQ503" s="103"/>
      <c r="AR503" s="103"/>
      <c r="AS503" s="103"/>
    </row>
    <row r="504" ht="15.75" customHeight="1">
      <c r="AM504" s="103"/>
      <c r="AN504" s="103"/>
      <c r="AO504" s="103"/>
      <c r="AQ504" s="103"/>
      <c r="AR504" s="103"/>
      <c r="AS504" s="103"/>
    </row>
    <row r="505" ht="15.75" customHeight="1">
      <c r="AM505" s="103"/>
      <c r="AN505" s="103"/>
      <c r="AO505" s="103"/>
      <c r="AQ505" s="103"/>
      <c r="AR505" s="103"/>
      <c r="AS505" s="103"/>
    </row>
    <row r="506" ht="15.75" customHeight="1">
      <c r="AM506" s="103"/>
      <c r="AN506" s="103"/>
      <c r="AO506" s="103"/>
      <c r="AQ506" s="103"/>
      <c r="AR506" s="103"/>
      <c r="AS506" s="103"/>
    </row>
    <row r="507" ht="15.75" customHeight="1">
      <c r="AM507" s="103"/>
      <c r="AN507" s="103"/>
      <c r="AO507" s="103"/>
      <c r="AQ507" s="103"/>
      <c r="AR507" s="103"/>
      <c r="AS507" s="103"/>
    </row>
    <row r="508" ht="15.75" customHeight="1">
      <c r="AM508" s="103"/>
      <c r="AN508" s="103"/>
      <c r="AO508" s="103"/>
      <c r="AQ508" s="103"/>
      <c r="AR508" s="103"/>
      <c r="AS508" s="103"/>
    </row>
    <row r="509" ht="15.75" customHeight="1">
      <c r="AM509" s="103"/>
      <c r="AN509" s="103"/>
      <c r="AO509" s="103"/>
      <c r="AQ509" s="103"/>
      <c r="AR509" s="103"/>
      <c r="AS509" s="103"/>
    </row>
    <row r="510" ht="15.75" customHeight="1">
      <c r="AM510" s="103"/>
      <c r="AN510" s="103"/>
      <c r="AO510" s="103"/>
      <c r="AQ510" s="103"/>
      <c r="AR510" s="103"/>
      <c r="AS510" s="103"/>
    </row>
    <row r="511" ht="15.75" customHeight="1">
      <c r="AM511" s="103"/>
      <c r="AN511" s="103"/>
      <c r="AO511" s="103"/>
      <c r="AQ511" s="103"/>
      <c r="AR511" s="103"/>
      <c r="AS511" s="103"/>
    </row>
    <row r="512" ht="15.75" customHeight="1">
      <c r="AM512" s="103"/>
      <c r="AN512" s="103"/>
      <c r="AO512" s="103"/>
      <c r="AQ512" s="103"/>
      <c r="AR512" s="103"/>
      <c r="AS512" s="103"/>
    </row>
    <row r="513" ht="15.75" customHeight="1">
      <c r="AM513" s="103"/>
      <c r="AN513" s="103"/>
      <c r="AO513" s="103"/>
      <c r="AQ513" s="103"/>
      <c r="AR513" s="103"/>
      <c r="AS513" s="103"/>
    </row>
    <row r="514" ht="15.75" customHeight="1">
      <c r="AM514" s="103"/>
      <c r="AN514" s="103"/>
      <c r="AO514" s="103"/>
      <c r="AQ514" s="103"/>
      <c r="AR514" s="103"/>
      <c r="AS514" s="103"/>
    </row>
    <row r="515" ht="15.75" customHeight="1">
      <c r="AM515" s="103"/>
      <c r="AN515" s="103"/>
      <c r="AO515" s="103"/>
      <c r="AQ515" s="103"/>
      <c r="AR515" s="103"/>
      <c r="AS515" s="103"/>
    </row>
    <row r="516" ht="15.75" customHeight="1">
      <c r="AM516" s="103"/>
      <c r="AN516" s="103"/>
      <c r="AO516" s="103"/>
      <c r="AQ516" s="103"/>
      <c r="AR516" s="103"/>
      <c r="AS516" s="103"/>
    </row>
    <row r="517" ht="15.75" customHeight="1">
      <c r="AM517" s="103"/>
      <c r="AN517" s="103"/>
      <c r="AO517" s="103"/>
      <c r="AQ517" s="103"/>
      <c r="AR517" s="103"/>
      <c r="AS517" s="103"/>
    </row>
    <row r="518" ht="15.75" customHeight="1">
      <c r="AM518" s="103"/>
      <c r="AN518" s="103"/>
      <c r="AO518" s="103"/>
      <c r="AQ518" s="103"/>
      <c r="AR518" s="103"/>
      <c r="AS518" s="103"/>
    </row>
    <row r="519" ht="15.75" customHeight="1">
      <c r="AM519" s="103"/>
      <c r="AN519" s="103"/>
      <c r="AO519" s="103"/>
      <c r="AQ519" s="103"/>
      <c r="AR519" s="103"/>
      <c r="AS519" s="103"/>
    </row>
    <row r="520" ht="15.75" customHeight="1">
      <c r="AM520" s="103"/>
      <c r="AN520" s="103"/>
      <c r="AO520" s="103"/>
      <c r="AQ520" s="103"/>
      <c r="AR520" s="103"/>
      <c r="AS520" s="103"/>
    </row>
    <row r="521" ht="15.75" customHeight="1">
      <c r="AM521" s="103"/>
      <c r="AN521" s="103"/>
      <c r="AO521" s="103"/>
      <c r="AQ521" s="103"/>
      <c r="AR521" s="103"/>
      <c r="AS521" s="103"/>
    </row>
    <row r="522" ht="15.75" customHeight="1">
      <c r="AM522" s="103"/>
      <c r="AN522" s="103"/>
      <c r="AO522" s="103"/>
      <c r="AQ522" s="103"/>
      <c r="AR522" s="103"/>
      <c r="AS522" s="103"/>
    </row>
    <row r="523" ht="15.75" customHeight="1">
      <c r="AM523" s="103"/>
      <c r="AN523" s="103"/>
      <c r="AO523" s="103"/>
      <c r="AQ523" s="103"/>
      <c r="AR523" s="103"/>
      <c r="AS523" s="103"/>
    </row>
    <row r="524" ht="15.75" customHeight="1">
      <c r="AM524" s="103"/>
      <c r="AN524" s="103"/>
      <c r="AO524" s="103"/>
      <c r="AQ524" s="103"/>
      <c r="AR524" s="103"/>
      <c r="AS524" s="103"/>
    </row>
    <row r="525" ht="15.75" customHeight="1">
      <c r="AM525" s="103"/>
      <c r="AN525" s="103"/>
      <c r="AO525" s="103"/>
      <c r="AQ525" s="103"/>
      <c r="AR525" s="103"/>
      <c r="AS525" s="103"/>
    </row>
    <row r="526" ht="15.75" customHeight="1">
      <c r="AM526" s="103"/>
      <c r="AN526" s="103"/>
      <c r="AO526" s="103"/>
      <c r="AQ526" s="103"/>
      <c r="AR526" s="103"/>
      <c r="AS526" s="103"/>
    </row>
    <row r="527" ht="15.75" customHeight="1">
      <c r="AM527" s="103"/>
      <c r="AN527" s="103"/>
      <c r="AO527" s="103"/>
      <c r="AQ527" s="103"/>
      <c r="AR527" s="103"/>
      <c r="AS527" s="103"/>
    </row>
    <row r="528" ht="15.75" customHeight="1">
      <c r="AM528" s="103"/>
      <c r="AN528" s="103"/>
      <c r="AO528" s="103"/>
      <c r="AQ528" s="103"/>
      <c r="AR528" s="103"/>
      <c r="AS528" s="103"/>
    </row>
    <row r="529" ht="15.75" customHeight="1">
      <c r="AM529" s="103"/>
      <c r="AN529" s="103"/>
      <c r="AO529" s="103"/>
      <c r="AQ529" s="103"/>
      <c r="AR529" s="103"/>
      <c r="AS529" s="103"/>
    </row>
    <row r="530" ht="15.75" customHeight="1">
      <c r="AM530" s="103"/>
      <c r="AN530" s="103"/>
      <c r="AO530" s="103"/>
      <c r="AQ530" s="103"/>
      <c r="AR530" s="103"/>
      <c r="AS530" s="103"/>
    </row>
    <row r="531" ht="15.75" customHeight="1">
      <c r="AM531" s="103"/>
      <c r="AN531" s="103"/>
      <c r="AO531" s="103"/>
      <c r="AQ531" s="103"/>
      <c r="AR531" s="103"/>
      <c r="AS531" s="103"/>
    </row>
    <row r="532" ht="15.75" customHeight="1">
      <c r="AM532" s="103"/>
      <c r="AN532" s="103"/>
      <c r="AO532" s="103"/>
      <c r="AQ532" s="103"/>
      <c r="AR532" s="103"/>
      <c r="AS532" s="103"/>
    </row>
    <row r="533" ht="15.75" customHeight="1">
      <c r="AM533" s="103"/>
      <c r="AN533" s="103"/>
      <c r="AO533" s="103"/>
      <c r="AQ533" s="103"/>
      <c r="AR533" s="103"/>
      <c r="AS533" s="103"/>
    </row>
    <row r="534" ht="15.75" customHeight="1">
      <c r="AM534" s="103"/>
      <c r="AN534" s="103"/>
      <c r="AO534" s="103"/>
      <c r="AQ534" s="103"/>
      <c r="AR534" s="103"/>
      <c r="AS534" s="103"/>
    </row>
    <row r="535" ht="15.75" customHeight="1">
      <c r="AM535" s="103"/>
      <c r="AN535" s="103"/>
      <c r="AO535" s="103"/>
      <c r="AQ535" s="103"/>
      <c r="AR535" s="103"/>
      <c r="AS535" s="103"/>
    </row>
    <row r="536" ht="15.75" customHeight="1">
      <c r="AM536" s="103"/>
      <c r="AN536" s="103"/>
      <c r="AO536" s="103"/>
      <c r="AQ536" s="103"/>
      <c r="AR536" s="103"/>
      <c r="AS536" s="103"/>
    </row>
    <row r="537" ht="15.75" customHeight="1">
      <c r="AM537" s="103"/>
      <c r="AN537" s="103"/>
      <c r="AO537" s="103"/>
      <c r="AQ537" s="103"/>
      <c r="AR537" s="103"/>
      <c r="AS537" s="103"/>
    </row>
    <row r="538" ht="15.75" customHeight="1">
      <c r="AM538" s="103"/>
      <c r="AN538" s="103"/>
      <c r="AO538" s="103"/>
      <c r="AQ538" s="103"/>
      <c r="AR538" s="103"/>
      <c r="AS538" s="103"/>
    </row>
    <row r="539" ht="15.75" customHeight="1">
      <c r="AM539" s="103"/>
      <c r="AN539" s="103"/>
      <c r="AO539" s="103"/>
      <c r="AQ539" s="103"/>
      <c r="AR539" s="103"/>
      <c r="AS539" s="103"/>
    </row>
    <row r="540" ht="15.75" customHeight="1">
      <c r="AM540" s="103"/>
      <c r="AN540" s="103"/>
      <c r="AO540" s="103"/>
      <c r="AQ540" s="103"/>
      <c r="AR540" s="103"/>
      <c r="AS540" s="103"/>
    </row>
    <row r="541" ht="15.75" customHeight="1">
      <c r="AM541" s="103"/>
      <c r="AN541" s="103"/>
      <c r="AO541" s="103"/>
      <c r="AQ541" s="103"/>
      <c r="AR541" s="103"/>
      <c r="AS541" s="103"/>
    </row>
    <row r="542" ht="15.75" customHeight="1">
      <c r="AM542" s="103"/>
      <c r="AN542" s="103"/>
      <c r="AO542" s="103"/>
      <c r="AQ542" s="103"/>
      <c r="AR542" s="103"/>
      <c r="AS542" s="103"/>
    </row>
    <row r="543" ht="15.75" customHeight="1">
      <c r="AM543" s="103"/>
      <c r="AN543" s="103"/>
      <c r="AO543" s="103"/>
      <c r="AQ543" s="103"/>
      <c r="AR543" s="103"/>
      <c r="AS543" s="103"/>
    </row>
    <row r="544" ht="15.75" customHeight="1">
      <c r="AM544" s="103"/>
      <c r="AN544" s="103"/>
      <c r="AO544" s="103"/>
      <c r="AQ544" s="103"/>
      <c r="AR544" s="103"/>
      <c r="AS544" s="103"/>
    </row>
    <row r="545" ht="15.75" customHeight="1">
      <c r="AM545" s="103"/>
      <c r="AN545" s="103"/>
      <c r="AO545" s="103"/>
      <c r="AQ545" s="103"/>
      <c r="AR545" s="103"/>
      <c r="AS545" s="103"/>
    </row>
    <row r="546" ht="15.75" customHeight="1">
      <c r="AM546" s="103"/>
      <c r="AN546" s="103"/>
      <c r="AO546" s="103"/>
      <c r="AQ546" s="103"/>
      <c r="AR546" s="103"/>
      <c r="AS546" s="103"/>
    </row>
    <row r="547" ht="15.75" customHeight="1">
      <c r="AM547" s="103"/>
      <c r="AN547" s="103"/>
      <c r="AO547" s="103"/>
      <c r="AQ547" s="103"/>
      <c r="AR547" s="103"/>
      <c r="AS547" s="103"/>
    </row>
    <row r="548" ht="15.75" customHeight="1">
      <c r="AM548" s="103"/>
      <c r="AN548" s="103"/>
      <c r="AO548" s="103"/>
      <c r="AQ548" s="103"/>
      <c r="AR548" s="103"/>
      <c r="AS548" s="103"/>
    </row>
    <row r="549" ht="15.75" customHeight="1">
      <c r="AM549" s="103"/>
      <c r="AN549" s="103"/>
      <c r="AO549" s="103"/>
      <c r="AQ549" s="103"/>
      <c r="AR549" s="103"/>
      <c r="AS549" s="103"/>
    </row>
    <row r="550" ht="15.75" customHeight="1">
      <c r="AM550" s="103"/>
      <c r="AN550" s="103"/>
      <c r="AO550" s="103"/>
      <c r="AQ550" s="103"/>
      <c r="AR550" s="103"/>
      <c r="AS550" s="103"/>
    </row>
    <row r="551" ht="15.75" customHeight="1">
      <c r="AM551" s="103"/>
      <c r="AN551" s="103"/>
      <c r="AO551" s="103"/>
      <c r="AQ551" s="103"/>
      <c r="AR551" s="103"/>
      <c r="AS551" s="103"/>
    </row>
    <row r="552" ht="15.75" customHeight="1">
      <c r="AM552" s="103"/>
      <c r="AN552" s="103"/>
      <c r="AO552" s="103"/>
      <c r="AQ552" s="103"/>
      <c r="AR552" s="103"/>
      <c r="AS552" s="103"/>
    </row>
    <row r="553" ht="15.75" customHeight="1">
      <c r="AM553" s="103"/>
      <c r="AN553" s="103"/>
      <c r="AO553" s="103"/>
      <c r="AQ553" s="103"/>
      <c r="AR553" s="103"/>
      <c r="AS553" s="103"/>
    </row>
    <row r="554" ht="15.75" customHeight="1">
      <c r="AM554" s="103"/>
      <c r="AN554" s="103"/>
      <c r="AO554" s="103"/>
      <c r="AQ554" s="103"/>
      <c r="AR554" s="103"/>
      <c r="AS554" s="103"/>
    </row>
    <row r="555" ht="15.75" customHeight="1">
      <c r="AM555" s="103"/>
      <c r="AN555" s="103"/>
      <c r="AO555" s="103"/>
      <c r="AQ555" s="103"/>
      <c r="AR555" s="103"/>
      <c r="AS555" s="103"/>
    </row>
    <row r="556" ht="15.75" customHeight="1">
      <c r="AM556" s="103"/>
      <c r="AN556" s="103"/>
      <c r="AO556" s="103"/>
      <c r="AQ556" s="103"/>
      <c r="AR556" s="103"/>
      <c r="AS556" s="103"/>
    </row>
    <row r="557" ht="15.75" customHeight="1">
      <c r="AM557" s="103"/>
      <c r="AN557" s="103"/>
      <c r="AO557" s="103"/>
      <c r="AQ557" s="103"/>
      <c r="AR557" s="103"/>
      <c r="AS557" s="103"/>
    </row>
    <row r="558" ht="15.75" customHeight="1">
      <c r="AM558" s="103"/>
      <c r="AN558" s="103"/>
      <c r="AO558" s="103"/>
      <c r="AQ558" s="103"/>
      <c r="AR558" s="103"/>
      <c r="AS558" s="103"/>
    </row>
    <row r="559" ht="15.75" customHeight="1">
      <c r="AM559" s="103"/>
      <c r="AN559" s="103"/>
      <c r="AO559" s="103"/>
      <c r="AQ559" s="103"/>
      <c r="AR559" s="103"/>
      <c r="AS559" s="103"/>
    </row>
    <row r="560" ht="15.75" customHeight="1">
      <c r="AM560" s="103"/>
      <c r="AN560" s="103"/>
      <c r="AO560" s="103"/>
      <c r="AQ560" s="103"/>
      <c r="AR560" s="103"/>
      <c r="AS560" s="103"/>
    </row>
    <row r="561" ht="15.75" customHeight="1">
      <c r="AM561" s="103"/>
      <c r="AN561" s="103"/>
      <c r="AO561" s="103"/>
      <c r="AQ561" s="103"/>
      <c r="AR561" s="103"/>
      <c r="AS561" s="103"/>
    </row>
    <row r="562" ht="15.75" customHeight="1">
      <c r="AM562" s="103"/>
      <c r="AN562" s="103"/>
      <c r="AO562" s="103"/>
      <c r="AQ562" s="103"/>
      <c r="AR562" s="103"/>
      <c r="AS562" s="103"/>
    </row>
    <row r="563" ht="15.75" customHeight="1">
      <c r="AM563" s="103"/>
      <c r="AN563" s="103"/>
      <c r="AO563" s="103"/>
      <c r="AQ563" s="103"/>
      <c r="AR563" s="103"/>
      <c r="AS563" s="103"/>
    </row>
    <row r="564" ht="15.75" customHeight="1">
      <c r="AM564" s="103"/>
      <c r="AN564" s="103"/>
      <c r="AO564" s="103"/>
      <c r="AQ564" s="103"/>
      <c r="AR564" s="103"/>
      <c r="AS564" s="103"/>
    </row>
    <row r="565" ht="15.75" customHeight="1">
      <c r="AM565" s="103"/>
      <c r="AN565" s="103"/>
      <c r="AO565" s="103"/>
      <c r="AQ565" s="103"/>
      <c r="AR565" s="103"/>
      <c r="AS565" s="103"/>
    </row>
    <row r="566" ht="15.75" customHeight="1">
      <c r="AM566" s="103"/>
      <c r="AN566" s="103"/>
      <c r="AO566" s="103"/>
      <c r="AQ566" s="103"/>
      <c r="AR566" s="103"/>
      <c r="AS566" s="103"/>
    </row>
    <row r="567" ht="15.75" customHeight="1">
      <c r="AM567" s="103"/>
      <c r="AN567" s="103"/>
      <c r="AO567" s="103"/>
      <c r="AQ567" s="103"/>
      <c r="AR567" s="103"/>
      <c r="AS567" s="103"/>
    </row>
    <row r="568" ht="15.75" customHeight="1">
      <c r="AM568" s="103"/>
      <c r="AN568" s="103"/>
      <c r="AO568" s="103"/>
      <c r="AQ568" s="103"/>
      <c r="AR568" s="103"/>
      <c r="AS568" s="103"/>
    </row>
    <row r="569" ht="15.75" customHeight="1">
      <c r="AM569" s="103"/>
      <c r="AN569" s="103"/>
      <c r="AO569" s="103"/>
      <c r="AQ569" s="103"/>
      <c r="AR569" s="103"/>
      <c r="AS569" s="103"/>
    </row>
    <row r="570" ht="15.75" customHeight="1">
      <c r="AM570" s="103"/>
      <c r="AN570" s="103"/>
      <c r="AO570" s="103"/>
      <c r="AQ570" s="103"/>
      <c r="AR570" s="103"/>
      <c r="AS570" s="103"/>
    </row>
    <row r="571" ht="15.75" customHeight="1">
      <c r="AM571" s="103"/>
      <c r="AN571" s="103"/>
      <c r="AO571" s="103"/>
      <c r="AQ571" s="103"/>
      <c r="AR571" s="103"/>
      <c r="AS571" s="103"/>
    </row>
    <row r="572" ht="15.75" customHeight="1">
      <c r="AM572" s="103"/>
      <c r="AN572" s="103"/>
      <c r="AO572" s="103"/>
      <c r="AQ572" s="103"/>
      <c r="AR572" s="103"/>
      <c r="AS572" s="103"/>
    </row>
    <row r="573" ht="15.75" customHeight="1">
      <c r="AM573" s="103"/>
      <c r="AN573" s="103"/>
      <c r="AO573" s="103"/>
      <c r="AQ573" s="103"/>
      <c r="AR573" s="103"/>
      <c r="AS573" s="103"/>
    </row>
    <row r="574" ht="15.75" customHeight="1">
      <c r="AM574" s="103"/>
      <c r="AN574" s="103"/>
      <c r="AO574" s="103"/>
      <c r="AQ574" s="103"/>
      <c r="AR574" s="103"/>
      <c r="AS574" s="103"/>
    </row>
    <row r="575" ht="15.75" customHeight="1">
      <c r="AM575" s="103"/>
      <c r="AN575" s="103"/>
      <c r="AO575" s="103"/>
      <c r="AQ575" s="103"/>
      <c r="AR575" s="103"/>
      <c r="AS575" s="103"/>
    </row>
    <row r="576" ht="15.75" customHeight="1">
      <c r="AM576" s="103"/>
      <c r="AN576" s="103"/>
      <c r="AO576" s="103"/>
      <c r="AQ576" s="103"/>
      <c r="AR576" s="103"/>
      <c r="AS576" s="103"/>
    </row>
    <row r="577" ht="15.75" customHeight="1">
      <c r="AM577" s="103"/>
      <c r="AN577" s="103"/>
      <c r="AO577" s="103"/>
      <c r="AQ577" s="103"/>
      <c r="AR577" s="103"/>
      <c r="AS577" s="103"/>
    </row>
    <row r="578" ht="15.75" customHeight="1">
      <c r="AM578" s="103"/>
      <c r="AN578" s="103"/>
      <c r="AO578" s="103"/>
      <c r="AQ578" s="103"/>
      <c r="AR578" s="103"/>
      <c r="AS578" s="103"/>
    </row>
    <row r="579" ht="15.75" customHeight="1">
      <c r="AM579" s="103"/>
      <c r="AN579" s="103"/>
      <c r="AO579" s="103"/>
      <c r="AQ579" s="103"/>
      <c r="AR579" s="103"/>
      <c r="AS579" s="103"/>
    </row>
    <row r="580" ht="15.75" customHeight="1">
      <c r="AM580" s="103"/>
      <c r="AN580" s="103"/>
      <c r="AO580" s="103"/>
      <c r="AQ580" s="103"/>
      <c r="AR580" s="103"/>
      <c r="AS580" s="103"/>
    </row>
    <row r="581" ht="15.75" customHeight="1">
      <c r="AM581" s="103"/>
      <c r="AN581" s="103"/>
      <c r="AO581" s="103"/>
      <c r="AQ581" s="103"/>
      <c r="AR581" s="103"/>
      <c r="AS581" s="103"/>
    </row>
    <row r="582" ht="15.75" customHeight="1">
      <c r="AM582" s="103"/>
      <c r="AN582" s="103"/>
      <c r="AO582" s="103"/>
      <c r="AQ582" s="103"/>
      <c r="AR582" s="103"/>
      <c r="AS582" s="103"/>
    </row>
    <row r="583" ht="15.75" customHeight="1">
      <c r="AM583" s="103"/>
      <c r="AN583" s="103"/>
      <c r="AO583" s="103"/>
      <c r="AQ583" s="103"/>
      <c r="AR583" s="103"/>
      <c r="AS583" s="103"/>
    </row>
    <row r="584" ht="15.75" customHeight="1">
      <c r="AM584" s="103"/>
      <c r="AN584" s="103"/>
      <c r="AO584" s="103"/>
      <c r="AQ584" s="103"/>
      <c r="AR584" s="103"/>
      <c r="AS584" s="103"/>
    </row>
    <row r="585" ht="15.75" customHeight="1">
      <c r="AM585" s="103"/>
      <c r="AN585" s="103"/>
      <c r="AO585" s="103"/>
      <c r="AQ585" s="103"/>
      <c r="AR585" s="103"/>
      <c r="AS585" s="103"/>
    </row>
    <row r="586" ht="15.75" customHeight="1">
      <c r="AM586" s="103"/>
      <c r="AN586" s="103"/>
      <c r="AO586" s="103"/>
      <c r="AQ586" s="103"/>
      <c r="AR586" s="103"/>
      <c r="AS586" s="103"/>
    </row>
    <row r="587" ht="15.75" customHeight="1">
      <c r="AM587" s="103"/>
      <c r="AN587" s="103"/>
      <c r="AO587" s="103"/>
      <c r="AQ587" s="103"/>
      <c r="AR587" s="103"/>
      <c r="AS587" s="103"/>
    </row>
    <row r="588" ht="15.75" customHeight="1">
      <c r="AM588" s="103"/>
      <c r="AN588" s="103"/>
      <c r="AO588" s="103"/>
      <c r="AQ588" s="103"/>
      <c r="AR588" s="103"/>
      <c r="AS588" s="103"/>
    </row>
    <row r="589" ht="15.75" customHeight="1">
      <c r="AM589" s="103"/>
      <c r="AN589" s="103"/>
      <c r="AO589" s="103"/>
      <c r="AQ589" s="103"/>
      <c r="AR589" s="103"/>
      <c r="AS589" s="103"/>
    </row>
    <row r="590" ht="15.75" customHeight="1">
      <c r="AM590" s="103"/>
      <c r="AN590" s="103"/>
      <c r="AO590" s="103"/>
      <c r="AQ590" s="103"/>
      <c r="AR590" s="103"/>
      <c r="AS590" s="103"/>
    </row>
    <row r="591" ht="15.75" customHeight="1">
      <c r="AM591" s="103"/>
      <c r="AN591" s="103"/>
      <c r="AO591" s="103"/>
      <c r="AQ591" s="103"/>
      <c r="AR591" s="103"/>
      <c r="AS591" s="103"/>
    </row>
    <row r="592" ht="15.75" customHeight="1">
      <c r="AM592" s="103"/>
      <c r="AN592" s="103"/>
      <c r="AO592" s="103"/>
      <c r="AQ592" s="103"/>
      <c r="AR592" s="103"/>
      <c r="AS592" s="103"/>
    </row>
    <row r="593" ht="15.75" customHeight="1">
      <c r="AM593" s="103"/>
      <c r="AN593" s="103"/>
      <c r="AO593" s="103"/>
      <c r="AQ593" s="103"/>
      <c r="AR593" s="103"/>
      <c r="AS593" s="103"/>
    </row>
    <row r="594" ht="15.75" customHeight="1">
      <c r="AM594" s="103"/>
      <c r="AN594" s="103"/>
      <c r="AO594" s="103"/>
      <c r="AQ594" s="103"/>
      <c r="AR594" s="103"/>
      <c r="AS594" s="103"/>
    </row>
    <row r="595" ht="15.75" customHeight="1">
      <c r="AM595" s="103"/>
      <c r="AN595" s="103"/>
      <c r="AO595" s="103"/>
      <c r="AQ595" s="103"/>
      <c r="AR595" s="103"/>
      <c r="AS595" s="103"/>
    </row>
    <row r="596" ht="15.75" customHeight="1">
      <c r="AM596" s="103"/>
      <c r="AN596" s="103"/>
      <c r="AO596" s="103"/>
      <c r="AQ596" s="103"/>
      <c r="AR596" s="103"/>
      <c r="AS596" s="103"/>
    </row>
    <row r="597" ht="15.75" customHeight="1">
      <c r="AM597" s="103"/>
      <c r="AN597" s="103"/>
      <c r="AO597" s="103"/>
      <c r="AQ597" s="103"/>
      <c r="AR597" s="103"/>
      <c r="AS597" s="103"/>
    </row>
    <row r="598" ht="15.75" customHeight="1">
      <c r="AM598" s="103"/>
      <c r="AN598" s="103"/>
      <c r="AO598" s="103"/>
      <c r="AQ598" s="103"/>
      <c r="AR598" s="103"/>
      <c r="AS598" s="103"/>
    </row>
    <row r="599" ht="15.75" customHeight="1">
      <c r="AM599" s="103"/>
      <c r="AN599" s="103"/>
      <c r="AO599" s="103"/>
      <c r="AQ599" s="103"/>
      <c r="AR599" s="103"/>
      <c r="AS599" s="103"/>
    </row>
    <row r="600" ht="15.75" customHeight="1">
      <c r="AM600" s="103"/>
      <c r="AN600" s="103"/>
      <c r="AO600" s="103"/>
      <c r="AQ600" s="103"/>
      <c r="AR600" s="103"/>
      <c r="AS600" s="103"/>
    </row>
    <row r="601" ht="15.75" customHeight="1">
      <c r="AM601" s="103"/>
      <c r="AN601" s="103"/>
      <c r="AO601" s="103"/>
      <c r="AQ601" s="103"/>
      <c r="AR601" s="103"/>
      <c r="AS601" s="103"/>
    </row>
    <row r="602" ht="15.75" customHeight="1">
      <c r="AM602" s="103"/>
      <c r="AN602" s="103"/>
      <c r="AO602" s="103"/>
      <c r="AQ602" s="103"/>
      <c r="AR602" s="103"/>
      <c r="AS602" s="103"/>
    </row>
    <row r="603" ht="15.75" customHeight="1">
      <c r="AM603" s="103"/>
      <c r="AN603" s="103"/>
      <c r="AO603" s="103"/>
      <c r="AQ603" s="103"/>
      <c r="AR603" s="103"/>
      <c r="AS603" s="103"/>
    </row>
    <row r="604" ht="15.75" customHeight="1">
      <c r="AM604" s="103"/>
      <c r="AN604" s="103"/>
      <c r="AO604" s="103"/>
      <c r="AQ604" s="103"/>
      <c r="AR604" s="103"/>
      <c r="AS604" s="103"/>
    </row>
    <row r="605" ht="15.75" customHeight="1">
      <c r="AM605" s="103"/>
      <c r="AN605" s="103"/>
      <c r="AO605" s="103"/>
      <c r="AQ605" s="103"/>
      <c r="AR605" s="103"/>
      <c r="AS605" s="103"/>
    </row>
    <row r="606" ht="15.75" customHeight="1">
      <c r="AM606" s="103"/>
      <c r="AN606" s="103"/>
      <c r="AO606" s="103"/>
      <c r="AQ606" s="103"/>
      <c r="AR606" s="103"/>
      <c r="AS606" s="103"/>
    </row>
    <row r="607" ht="15.75" customHeight="1">
      <c r="AM607" s="103"/>
      <c r="AN607" s="103"/>
      <c r="AO607" s="103"/>
      <c r="AQ607" s="103"/>
      <c r="AR607" s="103"/>
      <c r="AS607" s="103"/>
    </row>
    <row r="608" ht="15.75" customHeight="1">
      <c r="AM608" s="103"/>
      <c r="AN608" s="103"/>
      <c r="AO608" s="103"/>
      <c r="AQ608" s="103"/>
      <c r="AR608" s="103"/>
      <c r="AS608" s="103"/>
    </row>
    <row r="609" ht="15.75" customHeight="1">
      <c r="AM609" s="103"/>
      <c r="AN609" s="103"/>
      <c r="AO609" s="103"/>
      <c r="AQ609" s="103"/>
      <c r="AR609" s="103"/>
      <c r="AS609" s="103"/>
    </row>
    <row r="610" ht="15.75" customHeight="1">
      <c r="AM610" s="103"/>
      <c r="AN610" s="103"/>
      <c r="AO610" s="103"/>
      <c r="AQ610" s="103"/>
      <c r="AR610" s="103"/>
      <c r="AS610" s="103"/>
    </row>
    <row r="611" ht="15.75" customHeight="1">
      <c r="AM611" s="103"/>
      <c r="AN611" s="103"/>
      <c r="AO611" s="103"/>
      <c r="AQ611" s="103"/>
      <c r="AR611" s="103"/>
      <c r="AS611" s="103"/>
    </row>
    <row r="612" ht="15.75" customHeight="1">
      <c r="AM612" s="103"/>
      <c r="AN612" s="103"/>
      <c r="AO612" s="103"/>
      <c r="AQ612" s="103"/>
      <c r="AR612" s="103"/>
      <c r="AS612" s="103"/>
    </row>
    <row r="613" ht="15.75" customHeight="1">
      <c r="AM613" s="103"/>
      <c r="AN613" s="103"/>
      <c r="AO613" s="103"/>
      <c r="AQ613" s="103"/>
      <c r="AR613" s="103"/>
      <c r="AS613" s="103"/>
    </row>
    <row r="614" ht="15.75" customHeight="1">
      <c r="AM614" s="103"/>
      <c r="AN614" s="103"/>
      <c r="AO614" s="103"/>
      <c r="AQ614" s="103"/>
      <c r="AR614" s="103"/>
      <c r="AS614" s="103"/>
    </row>
    <row r="615" ht="15.75" customHeight="1">
      <c r="AM615" s="103"/>
      <c r="AN615" s="103"/>
      <c r="AO615" s="103"/>
      <c r="AQ615" s="103"/>
      <c r="AR615" s="103"/>
      <c r="AS615" s="103"/>
    </row>
    <row r="616" ht="15.75" customHeight="1">
      <c r="AM616" s="103"/>
      <c r="AN616" s="103"/>
      <c r="AO616" s="103"/>
      <c r="AQ616" s="103"/>
      <c r="AR616" s="103"/>
      <c r="AS616" s="103"/>
    </row>
    <row r="617" ht="15.75" customHeight="1">
      <c r="AM617" s="103"/>
      <c r="AN617" s="103"/>
      <c r="AO617" s="103"/>
      <c r="AQ617" s="103"/>
      <c r="AR617" s="103"/>
      <c r="AS617" s="103"/>
    </row>
    <row r="618" ht="15.75" customHeight="1">
      <c r="AM618" s="103"/>
      <c r="AN618" s="103"/>
      <c r="AO618" s="103"/>
      <c r="AQ618" s="103"/>
      <c r="AR618" s="103"/>
      <c r="AS618" s="103"/>
    </row>
    <row r="619" ht="15.75" customHeight="1">
      <c r="AM619" s="103"/>
      <c r="AN619" s="103"/>
      <c r="AO619" s="103"/>
      <c r="AQ619" s="103"/>
      <c r="AR619" s="103"/>
      <c r="AS619" s="103"/>
    </row>
    <row r="620" ht="15.75" customHeight="1">
      <c r="AM620" s="103"/>
      <c r="AN620" s="103"/>
      <c r="AO620" s="103"/>
      <c r="AQ620" s="103"/>
      <c r="AR620" s="103"/>
      <c r="AS620" s="103"/>
    </row>
    <row r="621" ht="15.75" customHeight="1">
      <c r="AM621" s="103"/>
      <c r="AN621" s="103"/>
      <c r="AO621" s="103"/>
      <c r="AQ621" s="103"/>
      <c r="AR621" s="103"/>
      <c r="AS621" s="103"/>
    </row>
    <row r="622" ht="15.75" customHeight="1">
      <c r="AM622" s="103"/>
      <c r="AN622" s="103"/>
      <c r="AO622" s="103"/>
      <c r="AQ622" s="103"/>
      <c r="AR622" s="103"/>
      <c r="AS622" s="103"/>
    </row>
    <row r="623" ht="15.75" customHeight="1">
      <c r="AM623" s="103"/>
      <c r="AN623" s="103"/>
      <c r="AO623" s="103"/>
      <c r="AQ623" s="103"/>
      <c r="AR623" s="103"/>
      <c r="AS623" s="103"/>
    </row>
    <row r="624" ht="15.75" customHeight="1">
      <c r="AM624" s="103"/>
      <c r="AN624" s="103"/>
      <c r="AO624" s="103"/>
      <c r="AQ624" s="103"/>
      <c r="AR624" s="103"/>
      <c r="AS624" s="103"/>
    </row>
    <row r="625" ht="15.75" customHeight="1">
      <c r="AM625" s="103"/>
      <c r="AN625" s="103"/>
      <c r="AO625" s="103"/>
      <c r="AQ625" s="103"/>
      <c r="AR625" s="103"/>
      <c r="AS625" s="103"/>
    </row>
    <row r="626" ht="15.75" customHeight="1">
      <c r="AM626" s="103"/>
      <c r="AN626" s="103"/>
      <c r="AO626" s="103"/>
      <c r="AQ626" s="103"/>
      <c r="AR626" s="103"/>
      <c r="AS626" s="103"/>
    </row>
    <row r="627" ht="15.75" customHeight="1">
      <c r="AM627" s="103"/>
      <c r="AN627" s="103"/>
      <c r="AO627" s="103"/>
      <c r="AQ627" s="103"/>
      <c r="AR627" s="103"/>
      <c r="AS627" s="103"/>
    </row>
    <row r="628" ht="15.75" customHeight="1">
      <c r="AM628" s="103"/>
      <c r="AN628" s="103"/>
      <c r="AO628" s="103"/>
      <c r="AQ628" s="103"/>
      <c r="AR628" s="103"/>
      <c r="AS628" s="103"/>
    </row>
    <row r="629" ht="15.75" customHeight="1">
      <c r="AM629" s="103"/>
      <c r="AN629" s="103"/>
      <c r="AO629" s="103"/>
      <c r="AQ629" s="103"/>
      <c r="AR629" s="103"/>
      <c r="AS629" s="103"/>
    </row>
    <row r="630" ht="15.75" customHeight="1">
      <c r="AM630" s="103"/>
      <c r="AN630" s="103"/>
      <c r="AO630" s="103"/>
      <c r="AQ630" s="103"/>
      <c r="AR630" s="103"/>
      <c r="AS630" s="103"/>
    </row>
    <row r="631" ht="15.75" customHeight="1">
      <c r="AM631" s="103"/>
      <c r="AN631" s="103"/>
      <c r="AO631" s="103"/>
      <c r="AQ631" s="103"/>
      <c r="AR631" s="103"/>
      <c r="AS631" s="103"/>
    </row>
    <row r="632" ht="15.75" customHeight="1">
      <c r="AM632" s="103"/>
      <c r="AN632" s="103"/>
      <c r="AO632" s="103"/>
      <c r="AQ632" s="103"/>
      <c r="AR632" s="103"/>
      <c r="AS632" s="103"/>
    </row>
    <row r="633" ht="15.75" customHeight="1">
      <c r="AM633" s="103"/>
      <c r="AN633" s="103"/>
      <c r="AO633" s="103"/>
      <c r="AQ633" s="103"/>
      <c r="AR633" s="103"/>
      <c r="AS633" s="103"/>
    </row>
    <row r="634" ht="15.75" customHeight="1">
      <c r="AM634" s="103"/>
      <c r="AN634" s="103"/>
      <c r="AO634" s="103"/>
      <c r="AQ634" s="103"/>
      <c r="AR634" s="103"/>
      <c r="AS634" s="103"/>
    </row>
    <row r="635" ht="15.75" customHeight="1">
      <c r="AM635" s="103"/>
      <c r="AN635" s="103"/>
      <c r="AO635" s="103"/>
      <c r="AQ635" s="103"/>
      <c r="AR635" s="103"/>
      <c r="AS635" s="103"/>
    </row>
    <row r="636" ht="15.75" customHeight="1">
      <c r="AM636" s="103"/>
      <c r="AN636" s="103"/>
      <c r="AO636" s="103"/>
      <c r="AQ636" s="103"/>
      <c r="AR636" s="103"/>
      <c r="AS636" s="103"/>
    </row>
    <row r="637" ht="15.75" customHeight="1">
      <c r="AM637" s="103"/>
      <c r="AN637" s="103"/>
      <c r="AO637" s="103"/>
      <c r="AQ637" s="103"/>
      <c r="AR637" s="103"/>
      <c r="AS637" s="103"/>
    </row>
    <row r="638" ht="15.75" customHeight="1">
      <c r="AM638" s="103"/>
      <c r="AN638" s="103"/>
      <c r="AO638" s="103"/>
      <c r="AQ638" s="103"/>
      <c r="AR638" s="103"/>
      <c r="AS638" s="103"/>
    </row>
    <row r="639" ht="15.75" customHeight="1">
      <c r="AM639" s="103"/>
      <c r="AN639" s="103"/>
      <c r="AO639" s="103"/>
      <c r="AQ639" s="103"/>
      <c r="AR639" s="103"/>
      <c r="AS639" s="103"/>
    </row>
    <row r="640" ht="15.75" customHeight="1">
      <c r="AM640" s="103"/>
      <c r="AN640" s="103"/>
      <c r="AO640" s="103"/>
      <c r="AQ640" s="103"/>
      <c r="AR640" s="103"/>
      <c r="AS640" s="103"/>
    </row>
    <row r="641" ht="15.75" customHeight="1">
      <c r="AM641" s="103"/>
      <c r="AN641" s="103"/>
      <c r="AO641" s="103"/>
      <c r="AQ641" s="103"/>
      <c r="AR641" s="103"/>
      <c r="AS641" s="103"/>
    </row>
    <row r="642" ht="15.75" customHeight="1">
      <c r="AM642" s="103"/>
      <c r="AN642" s="103"/>
      <c r="AO642" s="103"/>
      <c r="AQ642" s="103"/>
      <c r="AR642" s="103"/>
      <c r="AS642" s="103"/>
    </row>
    <row r="643" ht="15.75" customHeight="1">
      <c r="AM643" s="103"/>
      <c r="AN643" s="103"/>
      <c r="AO643" s="103"/>
      <c r="AQ643" s="103"/>
      <c r="AR643" s="103"/>
      <c r="AS643" s="103"/>
    </row>
    <row r="644" ht="15.75" customHeight="1">
      <c r="AM644" s="103"/>
      <c r="AN644" s="103"/>
      <c r="AO644" s="103"/>
      <c r="AQ644" s="103"/>
      <c r="AR644" s="103"/>
      <c r="AS644" s="103"/>
    </row>
    <row r="645" ht="15.75" customHeight="1">
      <c r="AM645" s="103"/>
      <c r="AN645" s="103"/>
      <c r="AO645" s="103"/>
      <c r="AQ645" s="103"/>
      <c r="AR645" s="103"/>
      <c r="AS645" s="103"/>
    </row>
    <row r="646" ht="15.75" customHeight="1">
      <c r="AM646" s="103"/>
      <c r="AN646" s="103"/>
      <c r="AO646" s="103"/>
      <c r="AQ646" s="103"/>
      <c r="AR646" s="103"/>
      <c r="AS646" s="103"/>
    </row>
    <row r="647" ht="15.75" customHeight="1">
      <c r="AM647" s="103"/>
      <c r="AN647" s="103"/>
      <c r="AO647" s="103"/>
      <c r="AQ647" s="103"/>
      <c r="AR647" s="103"/>
      <c r="AS647" s="103"/>
    </row>
    <row r="648" ht="15.75" customHeight="1">
      <c r="AM648" s="103"/>
      <c r="AN648" s="103"/>
      <c r="AO648" s="103"/>
      <c r="AQ648" s="103"/>
      <c r="AR648" s="103"/>
      <c r="AS648" s="103"/>
    </row>
    <row r="649" ht="15.75" customHeight="1">
      <c r="AM649" s="103"/>
      <c r="AN649" s="103"/>
      <c r="AO649" s="103"/>
      <c r="AQ649" s="103"/>
      <c r="AR649" s="103"/>
      <c r="AS649" s="103"/>
    </row>
    <row r="650" ht="15.75" customHeight="1">
      <c r="AM650" s="103"/>
      <c r="AN650" s="103"/>
      <c r="AO650" s="103"/>
      <c r="AQ650" s="103"/>
      <c r="AR650" s="103"/>
      <c r="AS650" s="103"/>
    </row>
    <row r="651" ht="15.75" customHeight="1">
      <c r="AM651" s="103"/>
      <c r="AN651" s="103"/>
      <c r="AO651" s="103"/>
      <c r="AQ651" s="103"/>
      <c r="AR651" s="103"/>
      <c r="AS651" s="103"/>
    </row>
    <row r="652" ht="15.75" customHeight="1">
      <c r="AM652" s="103"/>
      <c r="AN652" s="103"/>
      <c r="AO652" s="103"/>
      <c r="AQ652" s="103"/>
      <c r="AR652" s="103"/>
      <c r="AS652" s="103"/>
    </row>
    <row r="653" ht="15.75" customHeight="1">
      <c r="AM653" s="103"/>
      <c r="AN653" s="103"/>
      <c r="AO653" s="103"/>
      <c r="AQ653" s="103"/>
      <c r="AR653" s="103"/>
      <c r="AS653" s="103"/>
    </row>
    <row r="654" ht="15.75" customHeight="1">
      <c r="AM654" s="103"/>
      <c r="AN654" s="103"/>
      <c r="AO654" s="103"/>
      <c r="AQ654" s="103"/>
      <c r="AR654" s="103"/>
      <c r="AS654" s="103"/>
    </row>
    <row r="655" ht="15.75" customHeight="1">
      <c r="AM655" s="103"/>
      <c r="AN655" s="103"/>
      <c r="AO655" s="103"/>
      <c r="AQ655" s="103"/>
      <c r="AR655" s="103"/>
      <c r="AS655" s="103"/>
    </row>
    <row r="656" ht="15.75" customHeight="1">
      <c r="AM656" s="103"/>
      <c r="AN656" s="103"/>
      <c r="AO656" s="103"/>
      <c r="AQ656" s="103"/>
      <c r="AR656" s="103"/>
      <c r="AS656" s="103"/>
    </row>
    <row r="657" ht="15.75" customHeight="1">
      <c r="AM657" s="103"/>
      <c r="AN657" s="103"/>
      <c r="AO657" s="103"/>
      <c r="AQ657" s="103"/>
      <c r="AR657" s="103"/>
      <c r="AS657" s="103"/>
    </row>
    <row r="658" ht="15.75" customHeight="1">
      <c r="AM658" s="103"/>
      <c r="AN658" s="103"/>
      <c r="AO658" s="103"/>
      <c r="AQ658" s="103"/>
      <c r="AR658" s="103"/>
      <c r="AS658" s="103"/>
    </row>
    <row r="659" ht="15.75" customHeight="1">
      <c r="AM659" s="103"/>
      <c r="AN659" s="103"/>
      <c r="AO659" s="103"/>
      <c r="AQ659" s="103"/>
      <c r="AR659" s="103"/>
      <c r="AS659" s="103"/>
    </row>
    <row r="660" ht="15.75" customHeight="1">
      <c r="AM660" s="103"/>
      <c r="AN660" s="103"/>
      <c r="AO660" s="103"/>
      <c r="AQ660" s="103"/>
      <c r="AR660" s="103"/>
      <c r="AS660" s="103"/>
    </row>
    <row r="661" ht="15.75" customHeight="1">
      <c r="AM661" s="103"/>
      <c r="AN661" s="103"/>
      <c r="AO661" s="103"/>
      <c r="AQ661" s="103"/>
      <c r="AR661" s="103"/>
      <c r="AS661" s="103"/>
    </row>
    <row r="662" ht="15.75" customHeight="1">
      <c r="AM662" s="103"/>
      <c r="AN662" s="103"/>
      <c r="AO662" s="103"/>
      <c r="AQ662" s="103"/>
      <c r="AR662" s="103"/>
      <c r="AS662" s="103"/>
    </row>
    <row r="663" ht="15.75" customHeight="1">
      <c r="AM663" s="103"/>
      <c r="AN663" s="103"/>
      <c r="AO663" s="103"/>
      <c r="AQ663" s="103"/>
      <c r="AR663" s="103"/>
      <c r="AS663" s="103"/>
    </row>
    <row r="664" ht="15.75" customHeight="1">
      <c r="AM664" s="103"/>
      <c r="AN664" s="103"/>
      <c r="AO664" s="103"/>
      <c r="AQ664" s="103"/>
      <c r="AR664" s="103"/>
      <c r="AS664" s="103"/>
    </row>
    <row r="665" ht="15.75" customHeight="1">
      <c r="AM665" s="103"/>
      <c r="AN665" s="103"/>
      <c r="AO665" s="103"/>
      <c r="AQ665" s="103"/>
      <c r="AR665" s="103"/>
      <c r="AS665" s="103"/>
    </row>
    <row r="666" ht="15.75" customHeight="1">
      <c r="AM666" s="103"/>
      <c r="AN666" s="103"/>
      <c r="AO666" s="103"/>
      <c r="AQ666" s="103"/>
      <c r="AR666" s="103"/>
      <c r="AS666" s="103"/>
    </row>
    <row r="667" ht="15.75" customHeight="1">
      <c r="AM667" s="103"/>
      <c r="AN667" s="103"/>
      <c r="AO667" s="103"/>
      <c r="AQ667" s="103"/>
      <c r="AR667" s="103"/>
      <c r="AS667" s="103"/>
    </row>
    <row r="668" ht="15.75" customHeight="1">
      <c r="AM668" s="103"/>
      <c r="AN668" s="103"/>
      <c r="AO668" s="103"/>
      <c r="AQ668" s="103"/>
      <c r="AR668" s="103"/>
      <c r="AS668" s="103"/>
    </row>
    <row r="669" ht="15.75" customHeight="1">
      <c r="AM669" s="103"/>
      <c r="AN669" s="103"/>
      <c r="AO669" s="103"/>
      <c r="AQ669" s="103"/>
      <c r="AR669" s="103"/>
      <c r="AS669" s="103"/>
    </row>
    <row r="670" ht="15.75" customHeight="1">
      <c r="AM670" s="103"/>
      <c r="AN670" s="103"/>
      <c r="AO670" s="103"/>
      <c r="AQ670" s="103"/>
      <c r="AR670" s="103"/>
      <c r="AS670" s="103"/>
    </row>
    <row r="671" ht="15.75" customHeight="1">
      <c r="AM671" s="103"/>
      <c r="AN671" s="103"/>
      <c r="AO671" s="103"/>
      <c r="AQ671" s="103"/>
      <c r="AR671" s="103"/>
      <c r="AS671" s="103"/>
    </row>
    <row r="672" ht="15.75" customHeight="1">
      <c r="AM672" s="103"/>
      <c r="AN672" s="103"/>
      <c r="AO672" s="103"/>
      <c r="AQ672" s="103"/>
      <c r="AR672" s="103"/>
      <c r="AS672" s="103"/>
    </row>
    <row r="673" ht="15.75" customHeight="1">
      <c r="AM673" s="103"/>
      <c r="AN673" s="103"/>
      <c r="AO673" s="103"/>
      <c r="AQ673" s="103"/>
      <c r="AR673" s="103"/>
      <c r="AS673" s="103"/>
    </row>
    <row r="674" ht="15.75" customHeight="1">
      <c r="AM674" s="103"/>
      <c r="AN674" s="103"/>
      <c r="AO674" s="103"/>
      <c r="AQ674" s="103"/>
      <c r="AR674" s="103"/>
      <c r="AS674" s="103"/>
    </row>
    <row r="675" ht="15.75" customHeight="1">
      <c r="AM675" s="103"/>
      <c r="AN675" s="103"/>
      <c r="AO675" s="103"/>
      <c r="AQ675" s="103"/>
      <c r="AR675" s="103"/>
      <c r="AS675" s="103"/>
    </row>
    <row r="676" ht="15.75" customHeight="1">
      <c r="AM676" s="103"/>
      <c r="AN676" s="103"/>
      <c r="AO676" s="103"/>
      <c r="AQ676" s="103"/>
      <c r="AR676" s="103"/>
      <c r="AS676" s="103"/>
    </row>
    <row r="677" ht="15.75" customHeight="1">
      <c r="AM677" s="103"/>
      <c r="AN677" s="103"/>
      <c r="AO677" s="103"/>
      <c r="AQ677" s="103"/>
      <c r="AR677" s="103"/>
      <c r="AS677" s="103"/>
    </row>
    <row r="678" ht="15.75" customHeight="1">
      <c r="AM678" s="103"/>
      <c r="AN678" s="103"/>
      <c r="AO678" s="103"/>
      <c r="AQ678" s="103"/>
      <c r="AR678" s="103"/>
      <c r="AS678" s="103"/>
    </row>
    <row r="679" ht="15.75" customHeight="1">
      <c r="AM679" s="103"/>
      <c r="AN679" s="103"/>
      <c r="AO679" s="103"/>
      <c r="AQ679" s="103"/>
      <c r="AR679" s="103"/>
      <c r="AS679" s="103"/>
    </row>
    <row r="680" ht="15.75" customHeight="1">
      <c r="AM680" s="103"/>
      <c r="AN680" s="103"/>
      <c r="AO680" s="103"/>
      <c r="AQ680" s="103"/>
      <c r="AR680" s="103"/>
      <c r="AS680" s="103"/>
    </row>
    <row r="681" ht="15.75" customHeight="1">
      <c r="AM681" s="103"/>
      <c r="AN681" s="103"/>
      <c r="AO681" s="103"/>
      <c r="AQ681" s="103"/>
      <c r="AR681" s="103"/>
      <c r="AS681" s="103"/>
    </row>
    <row r="682" ht="15.75" customHeight="1">
      <c r="AM682" s="103"/>
      <c r="AN682" s="103"/>
      <c r="AO682" s="103"/>
      <c r="AQ682" s="103"/>
      <c r="AR682" s="103"/>
      <c r="AS682" s="103"/>
    </row>
    <row r="683" ht="15.75" customHeight="1">
      <c r="AM683" s="103"/>
      <c r="AN683" s="103"/>
      <c r="AO683" s="103"/>
      <c r="AQ683" s="103"/>
      <c r="AR683" s="103"/>
      <c r="AS683" s="103"/>
    </row>
    <row r="684" ht="15.75" customHeight="1">
      <c r="AM684" s="103"/>
      <c r="AN684" s="103"/>
      <c r="AO684" s="103"/>
      <c r="AQ684" s="103"/>
      <c r="AR684" s="103"/>
      <c r="AS684" s="103"/>
    </row>
    <row r="685" ht="15.75" customHeight="1">
      <c r="AM685" s="103"/>
      <c r="AN685" s="103"/>
      <c r="AO685" s="103"/>
      <c r="AQ685" s="103"/>
      <c r="AR685" s="103"/>
      <c r="AS685" s="103"/>
    </row>
    <row r="686" ht="15.75" customHeight="1">
      <c r="AM686" s="103"/>
      <c r="AN686" s="103"/>
      <c r="AO686" s="103"/>
      <c r="AQ686" s="103"/>
      <c r="AR686" s="103"/>
      <c r="AS686" s="103"/>
    </row>
    <row r="687" ht="15.75" customHeight="1">
      <c r="AM687" s="103"/>
      <c r="AN687" s="103"/>
      <c r="AO687" s="103"/>
      <c r="AQ687" s="103"/>
      <c r="AR687" s="103"/>
      <c r="AS687" s="103"/>
    </row>
    <row r="688" ht="15.75" customHeight="1">
      <c r="AM688" s="103"/>
      <c r="AN688" s="103"/>
      <c r="AO688" s="103"/>
      <c r="AQ688" s="103"/>
      <c r="AR688" s="103"/>
      <c r="AS688" s="103"/>
    </row>
    <row r="689" ht="15.75" customHeight="1">
      <c r="AM689" s="103"/>
      <c r="AN689" s="103"/>
      <c r="AO689" s="103"/>
      <c r="AQ689" s="103"/>
      <c r="AR689" s="103"/>
      <c r="AS689" s="103"/>
    </row>
    <row r="690" ht="15.75" customHeight="1">
      <c r="AM690" s="103"/>
      <c r="AN690" s="103"/>
      <c r="AO690" s="103"/>
      <c r="AQ690" s="103"/>
      <c r="AR690" s="103"/>
      <c r="AS690" s="103"/>
    </row>
    <row r="691" ht="15.75" customHeight="1">
      <c r="AM691" s="103"/>
      <c r="AN691" s="103"/>
      <c r="AO691" s="103"/>
      <c r="AQ691" s="103"/>
      <c r="AR691" s="103"/>
      <c r="AS691" s="103"/>
    </row>
    <row r="692" ht="15.75" customHeight="1">
      <c r="AM692" s="103"/>
      <c r="AN692" s="103"/>
      <c r="AO692" s="103"/>
      <c r="AQ692" s="103"/>
      <c r="AR692" s="103"/>
      <c r="AS692" s="103"/>
    </row>
    <row r="693" ht="15.75" customHeight="1">
      <c r="AM693" s="103"/>
      <c r="AN693" s="103"/>
      <c r="AO693" s="103"/>
      <c r="AQ693" s="103"/>
      <c r="AR693" s="103"/>
      <c r="AS693" s="103"/>
    </row>
    <row r="694" ht="15.75" customHeight="1">
      <c r="AM694" s="103"/>
      <c r="AN694" s="103"/>
      <c r="AO694" s="103"/>
      <c r="AQ694" s="103"/>
      <c r="AR694" s="103"/>
      <c r="AS694" s="103"/>
    </row>
    <row r="695" ht="15.75" customHeight="1">
      <c r="AM695" s="103"/>
      <c r="AN695" s="103"/>
      <c r="AO695" s="103"/>
      <c r="AQ695" s="103"/>
      <c r="AR695" s="103"/>
      <c r="AS695" s="103"/>
    </row>
    <row r="696" ht="15.75" customHeight="1">
      <c r="AM696" s="103"/>
      <c r="AN696" s="103"/>
      <c r="AO696" s="103"/>
      <c r="AQ696" s="103"/>
      <c r="AR696" s="103"/>
      <c r="AS696" s="103"/>
    </row>
    <row r="697" ht="15.75" customHeight="1">
      <c r="AM697" s="103"/>
      <c r="AN697" s="103"/>
      <c r="AO697" s="103"/>
      <c r="AQ697" s="103"/>
      <c r="AR697" s="103"/>
      <c r="AS697" s="103"/>
    </row>
    <row r="698" ht="15.75" customHeight="1">
      <c r="AM698" s="103"/>
      <c r="AN698" s="103"/>
      <c r="AO698" s="103"/>
      <c r="AQ698" s="103"/>
      <c r="AR698" s="103"/>
      <c r="AS698" s="103"/>
    </row>
    <row r="699" ht="15.75" customHeight="1">
      <c r="AM699" s="103"/>
      <c r="AN699" s="103"/>
      <c r="AO699" s="103"/>
      <c r="AQ699" s="103"/>
      <c r="AR699" s="103"/>
      <c r="AS699" s="103"/>
    </row>
    <row r="700" ht="15.75" customHeight="1">
      <c r="AM700" s="103"/>
      <c r="AN700" s="103"/>
      <c r="AO700" s="103"/>
      <c r="AQ700" s="103"/>
      <c r="AR700" s="103"/>
      <c r="AS700" s="103"/>
    </row>
    <row r="701" ht="15.75" customHeight="1">
      <c r="AM701" s="103"/>
      <c r="AN701" s="103"/>
      <c r="AO701" s="103"/>
      <c r="AQ701" s="103"/>
      <c r="AR701" s="103"/>
      <c r="AS701" s="103"/>
    </row>
    <row r="702" ht="15.75" customHeight="1">
      <c r="AM702" s="103"/>
      <c r="AN702" s="103"/>
      <c r="AO702" s="103"/>
      <c r="AQ702" s="103"/>
      <c r="AR702" s="103"/>
      <c r="AS702" s="103"/>
    </row>
    <row r="703" ht="15.75" customHeight="1">
      <c r="AM703" s="103"/>
      <c r="AN703" s="103"/>
      <c r="AO703" s="103"/>
      <c r="AQ703" s="103"/>
      <c r="AR703" s="103"/>
      <c r="AS703" s="103"/>
    </row>
    <row r="704" ht="15.75" customHeight="1">
      <c r="AM704" s="103"/>
      <c r="AN704" s="103"/>
      <c r="AO704" s="103"/>
      <c r="AQ704" s="103"/>
      <c r="AR704" s="103"/>
      <c r="AS704" s="103"/>
    </row>
    <row r="705" ht="15.75" customHeight="1">
      <c r="AM705" s="103"/>
      <c r="AN705" s="103"/>
      <c r="AO705" s="103"/>
      <c r="AQ705" s="103"/>
      <c r="AR705" s="103"/>
      <c r="AS705" s="103"/>
    </row>
    <row r="706" ht="15.75" customHeight="1">
      <c r="AM706" s="103"/>
      <c r="AN706" s="103"/>
      <c r="AO706" s="103"/>
      <c r="AQ706" s="103"/>
      <c r="AR706" s="103"/>
      <c r="AS706" s="103"/>
    </row>
    <row r="707" ht="15.75" customHeight="1">
      <c r="AM707" s="103"/>
      <c r="AN707" s="103"/>
      <c r="AO707" s="103"/>
      <c r="AQ707" s="103"/>
      <c r="AR707" s="103"/>
      <c r="AS707" s="103"/>
    </row>
    <row r="708" ht="15.75" customHeight="1">
      <c r="AM708" s="103"/>
      <c r="AN708" s="103"/>
      <c r="AO708" s="103"/>
      <c r="AQ708" s="103"/>
      <c r="AR708" s="103"/>
      <c r="AS708" s="103"/>
    </row>
    <row r="709" ht="15.75" customHeight="1">
      <c r="AM709" s="103"/>
      <c r="AN709" s="103"/>
      <c r="AO709" s="103"/>
      <c r="AQ709" s="103"/>
      <c r="AR709" s="103"/>
      <c r="AS709" s="103"/>
    </row>
    <row r="710" ht="15.75" customHeight="1">
      <c r="AM710" s="103"/>
      <c r="AN710" s="103"/>
      <c r="AO710" s="103"/>
      <c r="AQ710" s="103"/>
      <c r="AR710" s="103"/>
      <c r="AS710" s="103"/>
    </row>
    <row r="711" ht="15.75" customHeight="1">
      <c r="AM711" s="103"/>
      <c r="AN711" s="103"/>
      <c r="AO711" s="103"/>
      <c r="AQ711" s="103"/>
      <c r="AR711" s="103"/>
      <c r="AS711" s="103"/>
    </row>
    <row r="712" ht="15.75" customHeight="1">
      <c r="AM712" s="103"/>
      <c r="AN712" s="103"/>
      <c r="AO712" s="103"/>
      <c r="AQ712" s="103"/>
      <c r="AR712" s="103"/>
      <c r="AS712" s="103"/>
    </row>
    <row r="713" ht="15.75" customHeight="1">
      <c r="AM713" s="103"/>
      <c r="AN713" s="103"/>
      <c r="AO713" s="103"/>
      <c r="AQ713" s="103"/>
      <c r="AR713" s="103"/>
      <c r="AS713" s="103"/>
    </row>
    <row r="714" ht="15.75" customHeight="1">
      <c r="AM714" s="103"/>
      <c r="AN714" s="103"/>
      <c r="AO714" s="103"/>
      <c r="AQ714" s="103"/>
      <c r="AR714" s="103"/>
      <c r="AS714" s="103"/>
    </row>
    <row r="715" ht="15.75" customHeight="1">
      <c r="AM715" s="103"/>
      <c r="AN715" s="103"/>
      <c r="AO715" s="103"/>
      <c r="AQ715" s="103"/>
      <c r="AR715" s="103"/>
      <c r="AS715" s="103"/>
    </row>
    <row r="716" ht="15.75" customHeight="1">
      <c r="AM716" s="103"/>
      <c r="AN716" s="103"/>
      <c r="AO716" s="103"/>
      <c r="AQ716" s="103"/>
      <c r="AR716" s="103"/>
      <c r="AS716" s="103"/>
    </row>
    <row r="717" ht="15.75" customHeight="1">
      <c r="AM717" s="103"/>
      <c r="AN717" s="103"/>
      <c r="AO717" s="103"/>
      <c r="AQ717" s="103"/>
      <c r="AR717" s="103"/>
      <c r="AS717" s="103"/>
    </row>
    <row r="718" ht="15.75" customHeight="1">
      <c r="AM718" s="103"/>
      <c r="AN718" s="103"/>
      <c r="AO718" s="103"/>
      <c r="AQ718" s="103"/>
      <c r="AR718" s="103"/>
      <c r="AS718" s="103"/>
    </row>
    <row r="719" ht="15.75" customHeight="1">
      <c r="AM719" s="103"/>
      <c r="AN719" s="103"/>
      <c r="AO719" s="103"/>
      <c r="AQ719" s="103"/>
      <c r="AR719" s="103"/>
      <c r="AS719" s="103"/>
    </row>
    <row r="720" ht="15.75" customHeight="1">
      <c r="AM720" s="103"/>
      <c r="AN720" s="103"/>
      <c r="AO720" s="103"/>
      <c r="AQ720" s="103"/>
      <c r="AR720" s="103"/>
      <c r="AS720" s="103"/>
    </row>
    <row r="721" ht="15.75" customHeight="1">
      <c r="AM721" s="103"/>
      <c r="AN721" s="103"/>
      <c r="AO721" s="103"/>
      <c r="AQ721" s="103"/>
      <c r="AR721" s="103"/>
      <c r="AS721" s="103"/>
    </row>
    <row r="722" ht="15.75" customHeight="1">
      <c r="AM722" s="103"/>
      <c r="AN722" s="103"/>
      <c r="AO722" s="103"/>
      <c r="AQ722" s="103"/>
      <c r="AR722" s="103"/>
      <c r="AS722" s="103"/>
    </row>
    <row r="723" ht="15.75" customHeight="1">
      <c r="AM723" s="103"/>
      <c r="AN723" s="103"/>
      <c r="AO723" s="103"/>
      <c r="AQ723" s="103"/>
      <c r="AR723" s="103"/>
      <c r="AS723" s="103"/>
    </row>
    <row r="724" ht="15.75" customHeight="1">
      <c r="AM724" s="103"/>
      <c r="AN724" s="103"/>
      <c r="AO724" s="103"/>
      <c r="AQ724" s="103"/>
      <c r="AR724" s="103"/>
      <c r="AS724" s="103"/>
    </row>
    <row r="725" ht="15.75" customHeight="1">
      <c r="AM725" s="103"/>
      <c r="AN725" s="103"/>
      <c r="AO725" s="103"/>
      <c r="AQ725" s="103"/>
      <c r="AR725" s="103"/>
      <c r="AS725" s="103"/>
    </row>
    <row r="726" ht="15.75" customHeight="1">
      <c r="AM726" s="103"/>
      <c r="AN726" s="103"/>
      <c r="AO726" s="103"/>
      <c r="AQ726" s="103"/>
      <c r="AR726" s="103"/>
      <c r="AS726" s="103"/>
    </row>
    <row r="727" ht="15.75" customHeight="1">
      <c r="AM727" s="103"/>
      <c r="AN727" s="103"/>
      <c r="AO727" s="103"/>
      <c r="AQ727" s="103"/>
      <c r="AR727" s="103"/>
      <c r="AS727" s="103"/>
    </row>
    <row r="728" ht="15.75" customHeight="1">
      <c r="AM728" s="103"/>
      <c r="AN728" s="103"/>
      <c r="AO728" s="103"/>
      <c r="AQ728" s="103"/>
      <c r="AR728" s="103"/>
      <c r="AS728" s="103"/>
    </row>
    <row r="729" ht="15.75" customHeight="1">
      <c r="AM729" s="103"/>
      <c r="AN729" s="103"/>
      <c r="AO729" s="103"/>
      <c r="AQ729" s="103"/>
      <c r="AR729" s="103"/>
      <c r="AS729" s="103"/>
    </row>
    <row r="730" ht="15.75" customHeight="1">
      <c r="AM730" s="103"/>
      <c r="AN730" s="103"/>
      <c r="AO730" s="103"/>
      <c r="AQ730" s="103"/>
      <c r="AR730" s="103"/>
      <c r="AS730" s="103"/>
    </row>
    <row r="731" ht="15.75" customHeight="1">
      <c r="AM731" s="103"/>
      <c r="AN731" s="103"/>
      <c r="AO731" s="103"/>
      <c r="AQ731" s="103"/>
      <c r="AR731" s="103"/>
      <c r="AS731" s="103"/>
    </row>
    <row r="732" ht="15.75" customHeight="1">
      <c r="AM732" s="103"/>
      <c r="AN732" s="103"/>
      <c r="AO732" s="103"/>
      <c r="AQ732" s="103"/>
      <c r="AR732" s="103"/>
      <c r="AS732" s="103"/>
    </row>
    <row r="733" ht="15.75" customHeight="1">
      <c r="AM733" s="103"/>
      <c r="AN733" s="103"/>
      <c r="AO733" s="103"/>
      <c r="AQ733" s="103"/>
      <c r="AR733" s="103"/>
      <c r="AS733" s="103"/>
    </row>
    <row r="734" ht="15.75" customHeight="1">
      <c r="AM734" s="103"/>
      <c r="AN734" s="103"/>
      <c r="AO734" s="103"/>
      <c r="AQ734" s="103"/>
      <c r="AR734" s="103"/>
      <c r="AS734" s="103"/>
    </row>
    <row r="735" ht="15.75" customHeight="1">
      <c r="AM735" s="103"/>
      <c r="AN735" s="103"/>
      <c r="AO735" s="103"/>
      <c r="AQ735" s="103"/>
      <c r="AR735" s="103"/>
      <c r="AS735" s="103"/>
    </row>
    <row r="736" ht="15.75" customHeight="1">
      <c r="AM736" s="103"/>
      <c r="AN736" s="103"/>
      <c r="AO736" s="103"/>
      <c r="AQ736" s="103"/>
      <c r="AR736" s="103"/>
      <c r="AS736" s="103"/>
    </row>
    <row r="737" ht="15.75" customHeight="1">
      <c r="AM737" s="103"/>
      <c r="AN737" s="103"/>
      <c r="AO737" s="103"/>
      <c r="AQ737" s="103"/>
      <c r="AR737" s="103"/>
      <c r="AS737" s="103"/>
    </row>
    <row r="738" ht="15.75" customHeight="1">
      <c r="AM738" s="103"/>
      <c r="AN738" s="103"/>
      <c r="AO738" s="103"/>
      <c r="AQ738" s="103"/>
      <c r="AR738" s="103"/>
      <c r="AS738" s="103"/>
    </row>
    <row r="739" ht="15.75" customHeight="1">
      <c r="AM739" s="103"/>
      <c r="AN739" s="103"/>
      <c r="AO739" s="103"/>
      <c r="AQ739" s="103"/>
      <c r="AR739" s="103"/>
      <c r="AS739" s="103"/>
    </row>
    <row r="740" ht="15.75" customHeight="1">
      <c r="AM740" s="103"/>
      <c r="AN740" s="103"/>
      <c r="AO740" s="103"/>
      <c r="AQ740" s="103"/>
      <c r="AR740" s="103"/>
      <c r="AS740" s="103"/>
    </row>
    <row r="741" ht="15.75" customHeight="1">
      <c r="AM741" s="103"/>
      <c r="AN741" s="103"/>
      <c r="AO741" s="103"/>
      <c r="AQ741" s="103"/>
      <c r="AR741" s="103"/>
      <c r="AS741" s="103"/>
    </row>
    <row r="742" ht="15.75" customHeight="1">
      <c r="AM742" s="103"/>
      <c r="AN742" s="103"/>
      <c r="AO742" s="103"/>
      <c r="AQ742" s="103"/>
      <c r="AR742" s="103"/>
      <c r="AS742" s="103"/>
    </row>
    <row r="743" ht="15.75" customHeight="1">
      <c r="AM743" s="103"/>
      <c r="AN743" s="103"/>
      <c r="AO743" s="103"/>
      <c r="AQ743" s="103"/>
      <c r="AR743" s="103"/>
      <c r="AS743" s="103"/>
    </row>
    <row r="744" ht="15.75" customHeight="1">
      <c r="AM744" s="103"/>
      <c r="AN744" s="103"/>
      <c r="AO744" s="103"/>
      <c r="AQ744" s="103"/>
      <c r="AR744" s="103"/>
      <c r="AS744" s="103"/>
    </row>
    <row r="745" ht="15.75" customHeight="1">
      <c r="AM745" s="103"/>
      <c r="AN745" s="103"/>
      <c r="AO745" s="103"/>
      <c r="AQ745" s="103"/>
      <c r="AR745" s="103"/>
      <c r="AS745" s="103"/>
    </row>
    <row r="746" ht="15.75" customHeight="1">
      <c r="AM746" s="103"/>
      <c r="AN746" s="103"/>
      <c r="AO746" s="103"/>
      <c r="AQ746" s="103"/>
      <c r="AR746" s="103"/>
      <c r="AS746" s="103"/>
    </row>
    <row r="747" ht="15.75" customHeight="1">
      <c r="AM747" s="103"/>
      <c r="AN747" s="103"/>
      <c r="AO747" s="103"/>
      <c r="AQ747" s="103"/>
      <c r="AR747" s="103"/>
      <c r="AS747" s="103"/>
    </row>
    <row r="748" ht="15.75" customHeight="1">
      <c r="AM748" s="103"/>
      <c r="AN748" s="103"/>
      <c r="AO748" s="103"/>
      <c r="AQ748" s="103"/>
      <c r="AR748" s="103"/>
      <c r="AS748" s="103"/>
    </row>
    <row r="749" ht="15.75" customHeight="1">
      <c r="AM749" s="103"/>
      <c r="AN749" s="103"/>
      <c r="AO749" s="103"/>
      <c r="AQ749" s="103"/>
      <c r="AR749" s="103"/>
      <c r="AS749" s="103"/>
    </row>
    <row r="750" ht="15.75" customHeight="1">
      <c r="AM750" s="103"/>
      <c r="AN750" s="103"/>
      <c r="AO750" s="103"/>
      <c r="AQ750" s="103"/>
      <c r="AR750" s="103"/>
      <c r="AS750" s="103"/>
    </row>
    <row r="751" ht="15.75" customHeight="1">
      <c r="AM751" s="103"/>
      <c r="AN751" s="103"/>
      <c r="AO751" s="103"/>
      <c r="AQ751" s="103"/>
      <c r="AR751" s="103"/>
      <c r="AS751" s="103"/>
    </row>
    <row r="752" ht="15.75" customHeight="1">
      <c r="AM752" s="103"/>
      <c r="AN752" s="103"/>
      <c r="AO752" s="103"/>
      <c r="AQ752" s="103"/>
      <c r="AR752" s="103"/>
      <c r="AS752" s="103"/>
    </row>
    <row r="753" ht="15.75" customHeight="1">
      <c r="AM753" s="103"/>
      <c r="AN753" s="103"/>
      <c r="AO753" s="103"/>
      <c r="AQ753" s="103"/>
      <c r="AR753" s="103"/>
      <c r="AS753" s="103"/>
    </row>
    <row r="754" ht="15.75" customHeight="1">
      <c r="AM754" s="103"/>
      <c r="AN754" s="103"/>
      <c r="AO754" s="103"/>
      <c r="AQ754" s="103"/>
      <c r="AR754" s="103"/>
      <c r="AS754" s="103"/>
    </row>
    <row r="755" ht="15.75" customHeight="1">
      <c r="AM755" s="103"/>
      <c r="AN755" s="103"/>
      <c r="AO755" s="103"/>
      <c r="AQ755" s="103"/>
      <c r="AR755" s="103"/>
      <c r="AS755" s="103"/>
    </row>
    <row r="756" ht="15.75" customHeight="1">
      <c r="AM756" s="103"/>
      <c r="AN756" s="103"/>
      <c r="AO756" s="103"/>
      <c r="AQ756" s="103"/>
      <c r="AR756" s="103"/>
      <c r="AS756" s="103"/>
    </row>
    <row r="757" ht="15.75" customHeight="1">
      <c r="AM757" s="103"/>
      <c r="AN757" s="103"/>
      <c r="AO757" s="103"/>
      <c r="AQ757" s="103"/>
      <c r="AR757" s="103"/>
      <c r="AS757" s="103"/>
    </row>
    <row r="758" ht="15.75" customHeight="1">
      <c r="AM758" s="103"/>
      <c r="AN758" s="103"/>
      <c r="AO758" s="103"/>
      <c r="AQ758" s="103"/>
      <c r="AR758" s="103"/>
      <c r="AS758" s="103"/>
    </row>
    <row r="759" ht="15.75" customHeight="1">
      <c r="AM759" s="103"/>
      <c r="AN759" s="103"/>
      <c r="AO759" s="103"/>
      <c r="AQ759" s="103"/>
      <c r="AR759" s="103"/>
      <c r="AS759" s="103"/>
    </row>
    <row r="760" ht="15.75" customHeight="1">
      <c r="AM760" s="103"/>
      <c r="AN760" s="103"/>
      <c r="AO760" s="103"/>
      <c r="AQ760" s="103"/>
      <c r="AR760" s="103"/>
      <c r="AS760" s="103"/>
    </row>
    <row r="761" ht="15.75" customHeight="1">
      <c r="AM761" s="103"/>
      <c r="AN761" s="103"/>
      <c r="AO761" s="103"/>
      <c r="AQ761" s="103"/>
      <c r="AR761" s="103"/>
      <c r="AS761" s="103"/>
    </row>
    <row r="762" ht="15.75" customHeight="1">
      <c r="AM762" s="103"/>
      <c r="AN762" s="103"/>
      <c r="AO762" s="103"/>
      <c r="AQ762" s="103"/>
      <c r="AR762" s="103"/>
      <c r="AS762" s="103"/>
    </row>
    <row r="763" ht="15.75" customHeight="1">
      <c r="AM763" s="103"/>
      <c r="AN763" s="103"/>
      <c r="AO763" s="103"/>
      <c r="AQ763" s="103"/>
      <c r="AR763" s="103"/>
      <c r="AS763" s="103"/>
    </row>
    <row r="764" ht="15.75" customHeight="1">
      <c r="AM764" s="103"/>
      <c r="AN764" s="103"/>
      <c r="AO764" s="103"/>
      <c r="AQ764" s="103"/>
      <c r="AR764" s="103"/>
      <c r="AS764" s="103"/>
    </row>
    <row r="765" ht="15.75" customHeight="1">
      <c r="AM765" s="103"/>
      <c r="AN765" s="103"/>
      <c r="AO765" s="103"/>
      <c r="AQ765" s="103"/>
      <c r="AR765" s="103"/>
      <c r="AS765" s="103"/>
    </row>
    <row r="766" ht="15.75" customHeight="1">
      <c r="AM766" s="103"/>
      <c r="AN766" s="103"/>
      <c r="AO766" s="103"/>
      <c r="AQ766" s="103"/>
      <c r="AR766" s="103"/>
      <c r="AS766" s="103"/>
    </row>
    <row r="767" ht="15.75" customHeight="1">
      <c r="AM767" s="103"/>
      <c r="AN767" s="103"/>
      <c r="AO767" s="103"/>
      <c r="AQ767" s="103"/>
      <c r="AR767" s="103"/>
      <c r="AS767" s="103"/>
    </row>
    <row r="768" ht="15.75" customHeight="1">
      <c r="AM768" s="103"/>
      <c r="AN768" s="103"/>
      <c r="AO768" s="103"/>
      <c r="AQ768" s="103"/>
      <c r="AR768" s="103"/>
      <c r="AS768" s="103"/>
    </row>
    <row r="769" ht="15.75" customHeight="1">
      <c r="AM769" s="103"/>
      <c r="AN769" s="103"/>
      <c r="AO769" s="103"/>
      <c r="AQ769" s="103"/>
      <c r="AR769" s="103"/>
      <c r="AS769" s="103"/>
    </row>
    <row r="770" ht="15.75" customHeight="1">
      <c r="AM770" s="103"/>
      <c r="AN770" s="103"/>
      <c r="AO770" s="103"/>
      <c r="AQ770" s="103"/>
      <c r="AR770" s="103"/>
      <c r="AS770" s="103"/>
    </row>
    <row r="771" ht="15.75" customHeight="1">
      <c r="AM771" s="103"/>
      <c r="AN771" s="103"/>
      <c r="AO771" s="103"/>
      <c r="AQ771" s="103"/>
      <c r="AR771" s="103"/>
      <c r="AS771" s="103"/>
    </row>
    <row r="772" ht="15.75" customHeight="1">
      <c r="AM772" s="103"/>
      <c r="AN772" s="103"/>
      <c r="AO772" s="103"/>
      <c r="AQ772" s="103"/>
      <c r="AR772" s="103"/>
      <c r="AS772" s="103"/>
    </row>
    <row r="773" ht="15.75" customHeight="1">
      <c r="AM773" s="103"/>
      <c r="AN773" s="103"/>
      <c r="AO773" s="103"/>
      <c r="AQ773" s="103"/>
      <c r="AR773" s="103"/>
      <c r="AS773" s="103"/>
    </row>
    <row r="774" ht="15.75" customHeight="1">
      <c r="AM774" s="103"/>
      <c r="AN774" s="103"/>
      <c r="AO774" s="103"/>
      <c r="AQ774" s="103"/>
      <c r="AR774" s="103"/>
      <c r="AS774" s="103"/>
    </row>
    <row r="775" ht="15.75" customHeight="1">
      <c r="AM775" s="103"/>
      <c r="AN775" s="103"/>
      <c r="AO775" s="103"/>
      <c r="AQ775" s="103"/>
      <c r="AR775" s="103"/>
      <c r="AS775" s="103"/>
    </row>
    <row r="776" ht="15.75" customHeight="1">
      <c r="AM776" s="103"/>
      <c r="AN776" s="103"/>
      <c r="AO776" s="103"/>
      <c r="AQ776" s="103"/>
      <c r="AR776" s="103"/>
      <c r="AS776" s="103"/>
    </row>
    <row r="777" ht="15.75" customHeight="1">
      <c r="AM777" s="103"/>
      <c r="AN777" s="103"/>
      <c r="AO777" s="103"/>
      <c r="AQ777" s="103"/>
      <c r="AR777" s="103"/>
      <c r="AS777" s="103"/>
    </row>
    <row r="778" ht="15.75" customHeight="1">
      <c r="AM778" s="103"/>
      <c r="AN778" s="103"/>
      <c r="AO778" s="103"/>
      <c r="AQ778" s="103"/>
      <c r="AR778" s="103"/>
      <c r="AS778" s="103"/>
    </row>
    <row r="779" ht="15.75" customHeight="1">
      <c r="AM779" s="103"/>
      <c r="AN779" s="103"/>
      <c r="AO779" s="103"/>
      <c r="AQ779" s="103"/>
      <c r="AR779" s="103"/>
      <c r="AS779" s="103"/>
    </row>
    <row r="780" ht="15.75" customHeight="1">
      <c r="AM780" s="103"/>
      <c r="AN780" s="103"/>
      <c r="AO780" s="103"/>
      <c r="AQ780" s="103"/>
      <c r="AR780" s="103"/>
      <c r="AS780" s="103"/>
    </row>
    <row r="781" ht="15.75" customHeight="1">
      <c r="AM781" s="103"/>
      <c r="AN781" s="103"/>
      <c r="AO781" s="103"/>
      <c r="AQ781" s="103"/>
      <c r="AR781" s="103"/>
      <c r="AS781" s="103"/>
    </row>
    <row r="782" ht="15.75" customHeight="1">
      <c r="AM782" s="103"/>
      <c r="AN782" s="103"/>
      <c r="AO782" s="103"/>
      <c r="AQ782" s="103"/>
      <c r="AR782" s="103"/>
      <c r="AS782" s="103"/>
    </row>
    <row r="783" ht="15.75" customHeight="1">
      <c r="AM783" s="103"/>
      <c r="AN783" s="103"/>
      <c r="AO783" s="103"/>
      <c r="AQ783" s="103"/>
      <c r="AR783" s="103"/>
      <c r="AS783" s="103"/>
    </row>
    <row r="784" ht="15.75" customHeight="1">
      <c r="AM784" s="103"/>
      <c r="AN784" s="103"/>
      <c r="AO784" s="103"/>
      <c r="AQ784" s="103"/>
      <c r="AR784" s="103"/>
      <c r="AS784" s="103"/>
    </row>
    <row r="785" ht="15.75" customHeight="1">
      <c r="AM785" s="103"/>
      <c r="AN785" s="103"/>
      <c r="AO785" s="103"/>
      <c r="AQ785" s="103"/>
      <c r="AR785" s="103"/>
      <c r="AS785" s="103"/>
    </row>
    <row r="786" ht="15.75" customHeight="1">
      <c r="AM786" s="103"/>
      <c r="AN786" s="103"/>
      <c r="AO786" s="103"/>
      <c r="AQ786" s="103"/>
      <c r="AR786" s="103"/>
      <c r="AS786" s="103"/>
    </row>
    <row r="787" ht="15.75" customHeight="1">
      <c r="AM787" s="103"/>
      <c r="AN787" s="103"/>
      <c r="AO787" s="103"/>
      <c r="AQ787" s="103"/>
      <c r="AR787" s="103"/>
      <c r="AS787" s="103"/>
    </row>
    <row r="788" ht="15.75" customHeight="1">
      <c r="AM788" s="103"/>
      <c r="AN788" s="103"/>
      <c r="AO788" s="103"/>
      <c r="AQ788" s="103"/>
      <c r="AR788" s="103"/>
      <c r="AS788" s="103"/>
    </row>
    <row r="789" ht="15.75" customHeight="1">
      <c r="AM789" s="103"/>
      <c r="AN789" s="103"/>
      <c r="AO789" s="103"/>
      <c r="AQ789" s="103"/>
      <c r="AR789" s="103"/>
      <c r="AS789" s="103"/>
    </row>
    <row r="790" ht="15.75" customHeight="1">
      <c r="AM790" s="103"/>
      <c r="AN790" s="103"/>
      <c r="AO790" s="103"/>
      <c r="AQ790" s="103"/>
      <c r="AR790" s="103"/>
      <c r="AS790" s="103"/>
    </row>
    <row r="791" ht="15.75" customHeight="1">
      <c r="AM791" s="103"/>
      <c r="AN791" s="103"/>
      <c r="AO791" s="103"/>
      <c r="AQ791" s="103"/>
      <c r="AR791" s="103"/>
      <c r="AS791" s="103"/>
    </row>
    <row r="792" ht="15.75" customHeight="1">
      <c r="AM792" s="103"/>
      <c r="AN792" s="103"/>
      <c r="AO792" s="103"/>
      <c r="AQ792" s="103"/>
      <c r="AR792" s="103"/>
      <c r="AS792" s="103"/>
    </row>
    <row r="793" ht="15.75" customHeight="1">
      <c r="AM793" s="103"/>
      <c r="AN793" s="103"/>
      <c r="AO793" s="103"/>
      <c r="AQ793" s="103"/>
      <c r="AR793" s="103"/>
      <c r="AS793" s="103"/>
    </row>
    <row r="794" ht="15.75" customHeight="1">
      <c r="AM794" s="103"/>
      <c r="AN794" s="103"/>
      <c r="AO794" s="103"/>
      <c r="AQ794" s="103"/>
      <c r="AR794" s="103"/>
      <c r="AS794" s="103"/>
    </row>
    <row r="795" ht="15.75" customHeight="1">
      <c r="AM795" s="103"/>
      <c r="AN795" s="103"/>
      <c r="AO795" s="103"/>
      <c r="AQ795" s="103"/>
      <c r="AR795" s="103"/>
      <c r="AS795" s="103"/>
    </row>
    <row r="796" ht="15.75" customHeight="1">
      <c r="AM796" s="103"/>
      <c r="AN796" s="103"/>
      <c r="AO796" s="103"/>
      <c r="AQ796" s="103"/>
      <c r="AR796" s="103"/>
      <c r="AS796" s="103"/>
    </row>
    <row r="797" ht="15.75" customHeight="1">
      <c r="AM797" s="103"/>
      <c r="AN797" s="103"/>
      <c r="AO797" s="103"/>
      <c r="AQ797" s="103"/>
      <c r="AR797" s="103"/>
      <c r="AS797" s="103"/>
    </row>
    <row r="798" ht="15.75" customHeight="1">
      <c r="AM798" s="103"/>
      <c r="AN798" s="103"/>
      <c r="AO798" s="103"/>
      <c r="AQ798" s="103"/>
      <c r="AR798" s="103"/>
      <c r="AS798" s="103"/>
    </row>
    <row r="799" ht="15.75" customHeight="1">
      <c r="AM799" s="103"/>
      <c r="AN799" s="103"/>
      <c r="AO799" s="103"/>
      <c r="AQ799" s="103"/>
      <c r="AR799" s="103"/>
      <c r="AS799" s="103"/>
    </row>
    <row r="800" ht="15.75" customHeight="1">
      <c r="AM800" s="103"/>
      <c r="AN800" s="103"/>
      <c r="AO800" s="103"/>
      <c r="AQ800" s="103"/>
      <c r="AR800" s="103"/>
      <c r="AS800" s="103"/>
    </row>
    <row r="801" ht="15.75" customHeight="1">
      <c r="AM801" s="103"/>
      <c r="AN801" s="103"/>
      <c r="AO801" s="103"/>
      <c r="AQ801" s="103"/>
      <c r="AR801" s="103"/>
      <c r="AS801" s="103"/>
    </row>
    <row r="802" ht="15.75" customHeight="1">
      <c r="AM802" s="103"/>
      <c r="AN802" s="103"/>
      <c r="AO802" s="103"/>
      <c r="AQ802" s="103"/>
      <c r="AR802" s="103"/>
      <c r="AS802" s="103"/>
    </row>
    <row r="803" ht="15.75" customHeight="1">
      <c r="AM803" s="103"/>
      <c r="AN803" s="103"/>
      <c r="AO803" s="103"/>
      <c r="AQ803" s="103"/>
      <c r="AR803" s="103"/>
      <c r="AS803" s="103"/>
    </row>
    <row r="804" ht="15.75" customHeight="1">
      <c r="AM804" s="103"/>
      <c r="AN804" s="103"/>
      <c r="AO804" s="103"/>
      <c r="AQ804" s="103"/>
      <c r="AR804" s="103"/>
      <c r="AS804" s="103"/>
    </row>
    <row r="805" ht="15.75" customHeight="1">
      <c r="AM805" s="103"/>
      <c r="AN805" s="103"/>
      <c r="AO805" s="103"/>
      <c r="AQ805" s="103"/>
      <c r="AR805" s="103"/>
      <c r="AS805" s="103"/>
    </row>
    <row r="806" ht="15.75" customHeight="1">
      <c r="AM806" s="103"/>
      <c r="AN806" s="103"/>
      <c r="AO806" s="103"/>
      <c r="AQ806" s="103"/>
      <c r="AR806" s="103"/>
      <c r="AS806" s="103"/>
    </row>
    <row r="807" ht="15.75" customHeight="1">
      <c r="AM807" s="103"/>
      <c r="AN807" s="103"/>
      <c r="AO807" s="103"/>
      <c r="AQ807" s="103"/>
      <c r="AR807" s="103"/>
      <c r="AS807" s="103"/>
    </row>
    <row r="808" ht="15.75" customHeight="1">
      <c r="AM808" s="103"/>
      <c r="AN808" s="103"/>
      <c r="AO808" s="103"/>
      <c r="AQ808" s="103"/>
      <c r="AR808" s="103"/>
      <c r="AS808" s="103"/>
    </row>
    <row r="809" ht="15.75" customHeight="1">
      <c r="AM809" s="103"/>
      <c r="AN809" s="103"/>
      <c r="AO809" s="103"/>
      <c r="AQ809" s="103"/>
      <c r="AR809" s="103"/>
      <c r="AS809" s="103"/>
    </row>
    <row r="810" ht="15.75" customHeight="1">
      <c r="AM810" s="103"/>
      <c r="AN810" s="103"/>
      <c r="AO810" s="103"/>
      <c r="AQ810" s="103"/>
      <c r="AR810" s="103"/>
      <c r="AS810" s="103"/>
    </row>
    <row r="811" ht="15.75" customHeight="1">
      <c r="AM811" s="103"/>
      <c r="AN811" s="103"/>
      <c r="AO811" s="103"/>
      <c r="AQ811" s="103"/>
      <c r="AR811" s="103"/>
      <c r="AS811" s="103"/>
    </row>
    <row r="812" ht="15.75" customHeight="1">
      <c r="AM812" s="103"/>
      <c r="AN812" s="103"/>
      <c r="AO812" s="103"/>
      <c r="AQ812" s="103"/>
      <c r="AR812" s="103"/>
      <c r="AS812" s="103"/>
    </row>
    <row r="813" ht="15.75" customHeight="1">
      <c r="AM813" s="103"/>
      <c r="AN813" s="103"/>
      <c r="AO813" s="103"/>
      <c r="AQ813" s="103"/>
      <c r="AR813" s="103"/>
      <c r="AS813" s="103"/>
    </row>
    <row r="814" ht="15.75" customHeight="1">
      <c r="AM814" s="103"/>
      <c r="AN814" s="103"/>
      <c r="AO814" s="103"/>
      <c r="AQ814" s="103"/>
      <c r="AR814" s="103"/>
      <c r="AS814" s="103"/>
    </row>
    <row r="815" ht="15.75" customHeight="1">
      <c r="AM815" s="103"/>
      <c r="AN815" s="103"/>
      <c r="AO815" s="103"/>
      <c r="AQ815" s="103"/>
      <c r="AR815" s="103"/>
      <c r="AS815" s="103"/>
    </row>
    <row r="816" ht="15.75" customHeight="1">
      <c r="AM816" s="103"/>
      <c r="AN816" s="103"/>
      <c r="AO816" s="103"/>
      <c r="AQ816" s="103"/>
      <c r="AR816" s="103"/>
      <c r="AS816" s="103"/>
    </row>
    <row r="817" ht="15.75" customHeight="1">
      <c r="AM817" s="103"/>
      <c r="AN817" s="103"/>
      <c r="AO817" s="103"/>
      <c r="AQ817" s="103"/>
      <c r="AR817" s="103"/>
      <c r="AS817" s="103"/>
    </row>
    <row r="818" ht="15.75" customHeight="1">
      <c r="AM818" s="103"/>
      <c r="AN818" s="103"/>
      <c r="AO818" s="103"/>
      <c r="AQ818" s="103"/>
      <c r="AR818" s="103"/>
      <c r="AS818" s="103"/>
    </row>
    <row r="819" ht="15.75" customHeight="1">
      <c r="AM819" s="103"/>
      <c r="AN819" s="103"/>
      <c r="AO819" s="103"/>
      <c r="AQ819" s="103"/>
      <c r="AR819" s="103"/>
      <c r="AS819" s="103"/>
    </row>
    <row r="820" ht="15.75" customHeight="1">
      <c r="AM820" s="103"/>
      <c r="AN820" s="103"/>
      <c r="AO820" s="103"/>
      <c r="AQ820" s="103"/>
      <c r="AR820" s="103"/>
      <c r="AS820" s="103"/>
    </row>
    <row r="821" ht="15.75" customHeight="1">
      <c r="AM821" s="103"/>
      <c r="AN821" s="103"/>
      <c r="AO821" s="103"/>
      <c r="AQ821" s="103"/>
      <c r="AR821" s="103"/>
      <c r="AS821" s="103"/>
    </row>
    <row r="822" ht="15.75" customHeight="1">
      <c r="AM822" s="103"/>
      <c r="AN822" s="103"/>
      <c r="AO822" s="103"/>
      <c r="AQ822" s="103"/>
      <c r="AR822" s="103"/>
      <c r="AS822" s="103"/>
    </row>
    <row r="823" ht="15.75" customHeight="1">
      <c r="AM823" s="103"/>
      <c r="AN823" s="103"/>
      <c r="AO823" s="103"/>
      <c r="AQ823" s="103"/>
      <c r="AR823" s="103"/>
      <c r="AS823" s="103"/>
    </row>
    <row r="824" ht="15.75" customHeight="1">
      <c r="AM824" s="103"/>
      <c r="AN824" s="103"/>
      <c r="AO824" s="103"/>
      <c r="AQ824" s="103"/>
      <c r="AR824" s="103"/>
      <c r="AS824" s="103"/>
    </row>
    <row r="825" ht="15.75" customHeight="1">
      <c r="AM825" s="103"/>
      <c r="AN825" s="103"/>
      <c r="AO825" s="103"/>
      <c r="AQ825" s="103"/>
      <c r="AR825" s="103"/>
      <c r="AS825" s="103"/>
    </row>
    <row r="826" ht="15.75" customHeight="1">
      <c r="AM826" s="103"/>
      <c r="AN826" s="103"/>
      <c r="AO826" s="103"/>
      <c r="AQ826" s="103"/>
      <c r="AR826" s="103"/>
      <c r="AS826" s="103"/>
    </row>
    <row r="827" ht="15.75" customHeight="1">
      <c r="AM827" s="103"/>
      <c r="AN827" s="103"/>
      <c r="AO827" s="103"/>
      <c r="AQ827" s="103"/>
      <c r="AR827" s="103"/>
      <c r="AS827" s="103"/>
    </row>
    <row r="828" ht="15.75" customHeight="1">
      <c r="AM828" s="103"/>
      <c r="AN828" s="103"/>
      <c r="AO828" s="103"/>
      <c r="AQ828" s="103"/>
      <c r="AR828" s="103"/>
      <c r="AS828" s="103"/>
    </row>
    <row r="829" ht="15.75" customHeight="1">
      <c r="AM829" s="103"/>
      <c r="AN829" s="103"/>
      <c r="AO829" s="103"/>
      <c r="AQ829" s="103"/>
      <c r="AR829" s="103"/>
      <c r="AS829" s="103"/>
    </row>
    <row r="830" ht="15.75" customHeight="1">
      <c r="AM830" s="103"/>
      <c r="AN830" s="103"/>
      <c r="AO830" s="103"/>
      <c r="AQ830" s="103"/>
      <c r="AR830" s="103"/>
      <c r="AS830" s="103"/>
    </row>
    <row r="831" ht="15.75" customHeight="1">
      <c r="AM831" s="103"/>
      <c r="AN831" s="103"/>
      <c r="AO831" s="103"/>
      <c r="AQ831" s="103"/>
      <c r="AR831" s="103"/>
      <c r="AS831" s="103"/>
    </row>
    <row r="832" ht="15.75" customHeight="1">
      <c r="AM832" s="103"/>
      <c r="AN832" s="103"/>
      <c r="AO832" s="103"/>
      <c r="AQ832" s="103"/>
      <c r="AR832" s="103"/>
      <c r="AS832" s="103"/>
    </row>
    <row r="833" ht="15.75" customHeight="1">
      <c r="AM833" s="103"/>
      <c r="AN833" s="103"/>
      <c r="AO833" s="103"/>
      <c r="AQ833" s="103"/>
      <c r="AR833" s="103"/>
      <c r="AS833" s="103"/>
    </row>
    <row r="834" ht="15.75" customHeight="1">
      <c r="AM834" s="103"/>
      <c r="AN834" s="103"/>
      <c r="AO834" s="103"/>
      <c r="AQ834" s="103"/>
      <c r="AR834" s="103"/>
      <c r="AS834" s="103"/>
    </row>
    <row r="835" ht="15.75" customHeight="1">
      <c r="AM835" s="103"/>
      <c r="AN835" s="103"/>
      <c r="AO835" s="103"/>
      <c r="AQ835" s="103"/>
      <c r="AR835" s="103"/>
      <c r="AS835" s="103"/>
    </row>
    <row r="836" ht="15.75" customHeight="1">
      <c r="AM836" s="103"/>
      <c r="AN836" s="103"/>
      <c r="AO836" s="103"/>
      <c r="AQ836" s="103"/>
      <c r="AR836" s="103"/>
      <c r="AS836" s="103"/>
    </row>
    <row r="837" ht="15.75" customHeight="1">
      <c r="AM837" s="103"/>
      <c r="AN837" s="103"/>
      <c r="AO837" s="103"/>
      <c r="AQ837" s="103"/>
      <c r="AR837" s="103"/>
      <c r="AS837" s="103"/>
    </row>
    <row r="838" ht="15.75" customHeight="1">
      <c r="AM838" s="103"/>
      <c r="AN838" s="103"/>
      <c r="AO838" s="103"/>
      <c r="AQ838" s="103"/>
      <c r="AR838" s="103"/>
      <c r="AS838" s="103"/>
    </row>
    <row r="839" ht="15.75" customHeight="1">
      <c r="AM839" s="103"/>
      <c r="AN839" s="103"/>
      <c r="AO839" s="103"/>
      <c r="AQ839" s="103"/>
      <c r="AR839" s="103"/>
      <c r="AS839" s="103"/>
    </row>
    <row r="840" ht="15.75" customHeight="1">
      <c r="AM840" s="103"/>
      <c r="AN840" s="103"/>
      <c r="AO840" s="103"/>
      <c r="AQ840" s="103"/>
      <c r="AR840" s="103"/>
      <c r="AS840" s="103"/>
    </row>
    <row r="841" ht="15.75" customHeight="1">
      <c r="AM841" s="103"/>
      <c r="AN841" s="103"/>
      <c r="AO841" s="103"/>
      <c r="AQ841" s="103"/>
      <c r="AR841" s="103"/>
      <c r="AS841" s="103"/>
    </row>
    <row r="842" ht="15.75" customHeight="1">
      <c r="AM842" s="103"/>
      <c r="AN842" s="103"/>
      <c r="AO842" s="103"/>
      <c r="AQ842" s="103"/>
      <c r="AR842" s="103"/>
      <c r="AS842" s="103"/>
    </row>
    <row r="843" ht="15.75" customHeight="1">
      <c r="AM843" s="103"/>
      <c r="AN843" s="103"/>
      <c r="AO843" s="103"/>
      <c r="AQ843" s="103"/>
      <c r="AR843" s="103"/>
      <c r="AS843" s="103"/>
    </row>
    <row r="844" ht="15.75" customHeight="1">
      <c r="AM844" s="103"/>
      <c r="AN844" s="103"/>
      <c r="AO844" s="103"/>
      <c r="AQ844" s="103"/>
      <c r="AR844" s="103"/>
      <c r="AS844" s="103"/>
    </row>
    <row r="845" ht="15.75" customHeight="1">
      <c r="AM845" s="103"/>
      <c r="AN845" s="103"/>
      <c r="AO845" s="103"/>
      <c r="AQ845" s="103"/>
      <c r="AR845" s="103"/>
      <c r="AS845" s="103"/>
    </row>
    <row r="846" ht="15.75" customHeight="1">
      <c r="AM846" s="103"/>
      <c r="AN846" s="103"/>
      <c r="AO846" s="103"/>
      <c r="AQ846" s="103"/>
      <c r="AR846" s="103"/>
      <c r="AS846" s="103"/>
    </row>
    <row r="847" ht="15.75" customHeight="1">
      <c r="AM847" s="103"/>
      <c r="AN847" s="103"/>
      <c r="AO847" s="103"/>
      <c r="AQ847" s="103"/>
      <c r="AR847" s="103"/>
      <c r="AS847" s="103"/>
    </row>
    <row r="848" ht="15.75" customHeight="1">
      <c r="AM848" s="103"/>
      <c r="AN848" s="103"/>
      <c r="AO848" s="103"/>
      <c r="AQ848" s="103"/>
      <c r="AR848" s="103"/>
      <c r="AS848" s="103"/>
    </row>
    <row r="849" ht="15.75" customHeight="1">
      <c r="AM849" s="103"/>
      <c r="AN849" s="103"/>
      <c r="AO849" s="103"/>
      <c r="AQ849" s="103"/>
      <c r="AR849" s="103"/>
      <c r="AS849" s="103"/>
    </row>
    <row r="850" ht="15.75" customHeight="1">
      <c r="AM850" s="103"/>
      <c r="AN850" s="103"/>
      <c r="AO850" s="103"/>
      <c r="AQ850" s="103"/>
      <c r="AR850" s="103"/>
      <c r="AS850" s="103"/>
    </row>
    <row r="851" ht="15.75" customHeight="1">
      <c r="AM851" s="103"/>
      <c r="AN851" s="103"/>
      <c r="AO851" s="103"/>
      <c r="AQ851" s="103"/>
      <c r="AR851" s="103"/>
      <c r="AS851" s="103"/>
    </row>
    <row r="852" ht="15.75" customHeight="1">
      <c r="AM852" s="103"/>
      <c r="AN852" s="103"/>
      <c r="AO852" s="103"/>
      <c r="AQ852" s="103"/>
      <c r="AR852" s="103"/>
      <c r="AS852" s="103"/>
    </row>
    <row r="853" ht="15.75" customHeight="1">
      <c r="AM853" s="103"/>
      <c r="AN853" s="103"/>
      <c r="AO853" s="103"/>
      <c r="AQ853" s="103"/>
      <c r="AR853" s="103"/>
      <c r="AS853" s="103"/>
    </row>
    <row r="854" ht="15.75" customHeight="1">
      <c r="AM854" s="103"/>
      <c r="AN854" s="103"/>
      <c r="AO854" s="103"/>
      <c r="AQ854" s="103"/>
      <c r="AR854" s="103"/>
      <c r="AS854" s="103"/>
    </row>
    <row r="855" ht="15.75" customHeight="1">
      <c r="AM855" s="103"/>
      <c r="AN855" s="103"/>
      <c r="AO855" s="103"/>
      <c r="AQ855" s="103"/>
      <c r="AR855" s="103"/>
      <c r="AS855" s="103"/>
    </row>
    <row r="856" ht="15.75" customHeight="1">
      <c r="AM856" s="103"/>
      <c r="AN856" s="103"/>
      <c r="AO856" s="103"/>
      <c r="AQ856" s="103"/>
      <c r="AR856" s="103"/>
      <c r="AS856" s="103"/>
    </row>
    <row r="857" ht="15.75" customHeight="1">
      <c r="AM857" s="103"/>
      <c r="AN857" s="103"/>
      <c r="AO857" s="103"/>
      <c r="AQ857" s="103"/>
      <c r="AR857" s="103"/>
      <c r="AS857" s="103"/>
    </row>
    <row r="858" ht="15.75" customHeight="1">
      <c r="AM858" s="103"/>
      <c r="AN858" s="103"/>
      <c r="AO858" s="103"/>
      <c r="AQ858" s="103"/>
      <c r="AR858" s="103"/>
      <c r="AS858" s="103"/>
    </row>
    <row r="859" ht="15.75" customHeight="1">
      <c r="AM859" s="103"/>
      <c r="AN859" s="103"/>
      <c r="AO859" s="103"/>
      <c r="AQ859" s="103"/>
      <c r="AR859" s="103"/>
      <c r="AS859" s="103"/>
    </row>
    <row r="860" ht="15.75" customHeight="1">
      <c r="AM860" s="103"/>
      <c r="AN860" s="103"/>
      <c r="AO860" s="103"/>
      <c r="AQ860" s="103"/>
      <c r="AR860" s="103"/>
      <c r="AS860" s="103"/>
    </row>
    <row r="861" ht="15.75" customHeight="1">
      <c r="AM861" s="103"/>
      <c r="AN861" s="103"/>
      <c r="AO861" s="103"/>
      <c r="AQ861" s="103"/>
      <c r="AR861" s="103"/>
      <c r="AS861" s="103"/>
    </row>
    <row r="862" ht="15.75" customHeight="1">
      <c r="AM862" s="103"/>
      <c r="AN862" s="103"/>
      <c r="AO862" s="103"/>
      <c r="AQ862" s="103"/>
      <c r="AR862" s="103"/>
      <c r="AS862" s="103"/>
    </row>
    <row r="863" ht="15.75" customHeight="1">
      <c r="AM863" s="103"/>
      <c r="AN863" s="103"/>
      <c r="AO863" s="103"/>
      <c r="AQ863" s="103"/>
      <c r="AR863" s="103"/>
      <c r="AS863" s="103"/>
    </row>
    <row r="864" ht="15.75" customHeight="1">
      <c r="AM864" s="103"/>
      <c r="AN864" s="103"/>
      <c r="AO864" s="103"/>
      <c r="AQ864" s="103"/>
      <c r="AR864" s="103"/>
      <c r="AS864" s="103"/>
    </row>
    <row r="865" ht="15.75" customHeight="1">
      <c r="AM865" s="103"/>
      <c r="AN865" s="103"/>
      <c r="AO865" s="103"/>
      <c r="AQ865" s="103"/>
      <c r="AR865" s="103"/>
      <c r="AS865" s="103"/>
    </row>
    <row r="866" ht="15.75" customHeight="1">
      <c r="AM866" s="103"/>
      <c r="AN866" s="103"/>
      <c r="AO866" s="103"/>
      <c r="AQ866" s="103"/>
      <c r="AR866" s="103"/>
      <c r="AS866" s="103"/>
    </row>
    <row r="867" ht="15.75" customHeight="1">
      <c r="AM867" s="103"/>
      <c r="AN867" s="103"/>
      <c r="AO867" s="103"/>
      <c r="AQ867" s="103"/>
      <c r="AR867" s="103"/>
      <c r="AS867" s="103"/>
    </row>
    <row r="868" ht="15.75" customHeight="1">
      <c r="AM868" s="103"/>
      <c r="AN868" s="103"/>
      <c r="AO868" s="103"/>
      <c r="AQ868" s="103"/>
      <c r="AR868" s="103"/>
      <c r="AS868" s="103"/>
    </row>
    <row r="869" ht="15.75" customHeight="1">
      <c r="AM869" s="103"/>
      <c r="AN869" s="103"/>
      <c r="AO869" s="103"/>
      <c r="AQ869" s="103"/>
      <c r="AR869" s="103"/>
      <c r="AS869" s="103"/>
    </row>
    <row r="870" ht="15.75" customHeight="1">
      <c r="AM870" s="103"/>
      <c r="AN870" s="103"/>
      <c r="AO870" s="103"/>
      <c r="AQ870" s="103"/>
      <c r="AR870" s="103"/>
      <c r="AS870" s="103"/>
    </row>
    <row r="871" ht="15.75" customHeight="1">
      <c r="AM871" s="103"/>
      <c r="AN871" s="103"/>
      <c r="AO871" s="103"/>
      <c r="AQ871" s="103"/>
      <c r="AR871" s="103"/>
      <c r="AS871" s="103"/>
    </row>
    <row r="872" ht="15.75" customHeight="1">
      <c r="AM872" s="103"/>
      <c r="AN872" s="103"/>
      <c r="AO872" s="103"/>
      <c r="AQ872" s="103"/>
      <c r="AR872" s="103"/>
      <c r="AS872" s="103"/>
    </row>
    <row r="873" ht="15.75" customHeight="1">
      <c r="AM873" s="103"/>
      <c r="AN873" s="103"/>
      <c r="AO873" s="103"/>
      <c r="AQ873" s="103"/>
      <c r="AR873" s="103"/>
      <c r="AS873" s="103"/>
    </row>
    <row r="874" ht="15.75" customHeight="1">
      <c r="AM874" s="103"/>
      <c r="AN874" s="103"/>
      <c r="AO874" s="103"/>
      <c r="AQ874" s="103"/>
      <c r="AR874" s="103"/>
      <c r="AS874" s="103"/>
    </row>
    <row r="875" ht="15.75" customHeight="1">
      <c r="AM875" s="103"/>
      <c r="AN875" s="103"/>
      <c r="AO875" s="103"/>
      <c r="AQ875" s="103"/>
      <c r="AR875" s="103"/>
      <c r="AS875" s="103"/>
    </row>
    <row r="876" ht="15.75" customHeight="1">
      <c r="AM876" s="103"/>
      <c r="AN876" s="103"/>
      <c r="AO876" s="103"/>
      <c r="AQ876" s="103"/>
      <c r="AR876" s="103"/>
      <c r="AS876" s="103"/>
    </row>
    <row r="877" ht="15.75" customHeight="1">
      <c r="AM877" s="103"/>
      <c r="AN877" s="103"/>
      <c r="AO877" s="103"/>
      <c r="AQ877" s="103"/>
      <c r="AR877" s="103"/>
      <c r="AS877" s="103"/>
    </row>
    <row r="878" ht="15.75" customHeight="1">
      <c r="AM878" s="103"/>
      <c r="AN878" s="103"/>
      <c r="AO878" s="103"/>
      <c r="AQ878" s="103"/>
      <c r="AR878" s="103"/>
      <c r="AS878" s="103"/>
    </row>
    <row r="879" ht="15.75" customHeight="1">
      <c r="AM879" s="103"/>
      <c r="AN879" s="103"/>
      <c r="AO879" s="103"/>
      <c r="AQ879" s="103"/>
      <c r="AR879" s="103"/>
      <c r="AS879" s="103"/>
    </row>
    <row r="880" ht="15.75" customHeight="1">
      <c r="AM880" s="103"/>
      <c r="AN880" s="103"/>
      <c r="AO880" s="103"/>
      <c r="AQ880" s="103"/>
      <c r="AR880" s="103"/>
      <c r="AS880" s="103"/>
    </row>
    <row r="881" ht="15.75" customHeight="1">
      <c r="AM881" s="103"/>
      <c r="AN881" s="103"/>
      <c r="AO881" s="103"/>
      <c r="AQ881" s="103"/>
      <c r="AR881" s="103"/>
      <c r="AS881" s="103"/>
    </row>
    <row r="882" ht="15.75" customHeight="1">
      <c r="AM882" s="103"/>
      <c r="AN882" s="103"/>
      <c r="AO882" s="103"/>
      <c r="AQ882" s="103"/>
      <c r="AR882" s="103"/>
      <c r="AS882" s="103"/>
    </row>
    <row r="883" ht="15.75" customHeight="1">
      <c r="AM883" s="103"/>
      <c r="AN883" s="103"/>
      <c r="AO883" s="103"/>
      <c r="AQ883" s="103"/>
      <c r="AR883" s="103"/>
      <c r="AS883" s="103"/>
    </row>
    <row r="884" ht="15.75" customHeight="1">
      <c r="AM884" s="103"/>
      <c r="AN884" s="103"/>
      <c r="AO884" s="103"/>
      <c r="AQ884" s="103"/>
      <c r="AR884" s="103"/>
      <c r="AS884" s="103"/>
    </row>
    <row r="885" ht="15.75" customHeight="1">
      <c r="AM885" s="103"/>
      <c r="AN885" s="103"/>
      <c r="AO885" s="103"/>
      <c r="AQ885" s="103"/>
      <c r="AR885" s="103"/>
      <c r="AS885" s="103"/>
    </row>
    <row r="886" ht="15.75" customHeight="1">
      <c r="AM886" s="103"/>
      <c r="AN886" s="103"/>
      <c r="AO886" s="103"/>
      <c r="AQ886" s="103"/>
      <c r="AR886" s="103"/>
      <c r="AS886" s="103"/>
    </row>
    <row r="887" ht="15.75" customHeight="1">
      <c r="AM887" s="103"/>
      <c r="AN887" s="103"/>
      <c r="AO887" s="103"/>
      <c r="AQ887" s="103"/>
      <c r="AR887" s="103"/>
      <c r="AS887" s="103"/>
    </row>
    <row r="888" ht="15.75" customHeight="1">
      <c r="AM888" s="103"/>
      <c r="AN888" s="103"/>
      <c r="AO888" s="103"/>
      <c r="AQ888" s="103"/>
      <c r="AR888" s="103"/>
      <c r="AS888" s="103"/>
    </row>
    <row r="889" ht="15.75" customHeight="1">
      <c r="AM889" s="103"/>
      <c r="AN889" s="103"/>
      <c r="AO889" s="103"/>
      <c r="AQ889" s="103"/>
      <c r="AR889" s="103"/>
      <c r="AS889" s="103"/>
    </row>
    <row r="890" ht="15.75" customHeight="1">
      <c r="AM890" s="103"/>
      <c r="AN890" s="103"/>
      <c r="AO890" s="103"/>
      <c r="AQ890" s="103"/>
      <c r="AR890" s="103"/>
      <c r="AS890" s="103"/>
    </row>
    <row r="891" ht="15.75" customHeight="1">
      <c r="AM891" s="103"/>
      <c r="AN891" s="103"/>
      <c r="AO891" s="103"/>
      <c r="AQ891" s="103"/>
      <c r="AR891" s="103"/>
      <c r="AS891" s="103"/>
    </row>
    <row r="892" ht="15.75" customHeight="1">
      <c r="AM892" s="103"/>
      <c r="AN892" s="103"/>
      <c r="AO892" s="103"/>
      <c r="AQ892" s="103"/>
      <c r="AR892" s="103"/>
      <c r="AS892" s="103"/>
    </row>
    <row r="893" ht="15.75" customHeight="1">
      <c r="AM893" s="103"/>
      <c r="AN893" s="103"/>
      <c r="AO893" s="103"/>
      <c r="AQ893" s="103"/>
      <c r="AR893" s="103"/>
      <c r="AS893" s="103"/>
    </row>
    <row r="894" ht="15.75" customHeight="1">
      <c r="AM894" s="103"/>
      <c r="AN894" s="103"/>
      <c r="AO894" s="103"/>
      <c r="AQ894" s="103"/>
      <c r="AR894" s="103"/>
      <c r="AS894" s="103"/>
    </row>
    <row r="895" ht="15.75" customHeight="1">
      <c r="AM895" s="103"/>
      <c r="AN895" s="103"/>
      <c r="AO895" s="103"/>
      <c r="AQ895" s="103"/>
      <c r="AR895" s="103"/>
      <c r="AS895" s="103"/>
    </row>
    <row r="896" ht="15.75" customHeight="1">
      <c r="AM896" s="103"/>
      <c r="AN896" s="103"/>
      <c r="AO896" s="103"/>
      <c r="AQ896" s="103"/>
      <c r="AR896" s="103"/>
      <c r="AS896" s="103"/>
    </row>
    <row r="897" ht="15.75" customHeight="1">
      <c r="AM897" s="103"/>
      <c r="AN897" s="103"/>
      <c r="AO897" s="103"/>
      <c r="AQ897" s="103"/>
      <c r="AR897" s="103"/>
      <c r="AS897" s="103"/>
    </row>
    <row r="898" ht="15.75" customHeight="1">
      <c r="AM898" s="103"/>
      <c r="AN898" s="103"/>
      <c r="AO898" s="103"/>
      <c r="AQ898" s="103"/>
      <c r="AR898" s="103"/>
      <c r="AS898" s="103"/>
    </row>
    <row r="899" ht="15.75" customHeight="1">
      <c r="AM899" s="103"/>
      <c r="AN899" s="103"/>
      <c r="AO899" s="103"/>
      <c r="AQ899" s="103"/>
      <c r="AR899" s="103"/>
      <c r="AS899" s="103"/>
    </row>
    <row r="900" ht="15.75" customHeight="1">
      <c r="AM900" s="103"/>
      <c r="AN900" s="103"/>
      <c r="AO900" s="103"/>
      <c r="AQ900" s="103"/>
      <c r="AR900" s="103"/>
      <c r="AS900" s="103"/>
    </row>
    <row r="901" ht="15.75" customHeight="1">
      <c r="AM901" s="103"/>
      <c r="AN901" s="103"/>
      <c r="AO901" s="103"/>
      <c r="AQ901" s="103"/>
      <c r="AR901" s="103"/>
      <c r="AS901" s="103"/>
    </row>
    <row r="902" ht="15.75" customHeight="1">
      <c r="AM902" s="103"/>
      <c r="AN902" s="103"/>
      <c r="AO902" s="103"/>
      <c r="AQ902" s="103"/>
      <c r="AR902" s="103"/>
      <c r="AS902" s="103"/>
    </row>
    <row r="903" ht="15.75" customHeight="1">
      <c r="AM903" s="103"/>
      <c r="AN903" s="103"/>
      <c r="AO903" s="103"/>
      <c r="AQ903" s="103"/>
      <c r="AR903" s="103"/>
      <c r="AS903" s="103"/>
    </row>
    <row r="904" ht="15.75" customHeight="1">
      <c r="AM904" s="103"/>
      <c r="AN904" s="103"/>
      <c r="AO904" s="103"/>
      <c r="AQ904" s="103"/>
      <c r="AR904" s="103"/>
      <c r="AS904" s="103"/>
    </row>
    <row r="905" ht="15.75" customHeight="1">
      <c r="AM905" s="103"/>
      <c r="AN905" s="103"/>
      <c r="AO905" s="103"/>
      <c r="AQ905" s="103"/>
      <c r="AR905" s="103"/>
      <c r="AS905" s="103"/>
    </row>
    <row r="906" ht="15.75" customHeight="1">
      <c r="AM906" s="103"/>
      <c r="AN906" s="103"/>
      <c r="AO906" s="103"/>
      <c r="AQ906" s="103"/>
      <c r="AR906" s="103"/>
      <c r="AS906" s="103"/>
    </row>
    <row r="907" ht="15.75" customHeight="1">
      <c r="AM907" s="103"/>
      <c r="AN907" s="103"/>
      <c r="AO907" s="103"/>
      <c r="AQ907" s="103"/>
      <c r="AR907" s="103"/>
      <c r="AS907" s="103"/>
    </row>
    <row r="908" ht="15.75" customHeight="1">
      <c r="AM908" s="103"/>
      <c r="AN908" s="103"/>
      <c r="AO908" s="103"/>
      <c r="AQ908" s="103"/>
      <c r="AR908" s="103"/>
      <c r="AS908" s="103"/>
    </row>
    <row r="909" ht="15.75" customHeight="1">
      <c r="AM909" s="103"/>
      <c r="AN909" s="103"/>
      <c r="AO909" s="103"/>
      <c r="AQ909" s="103"/>
      <c r="AR909" s="103"/>
      <c r="AS909" s="103"/>
    </row>
    <row r="910" ht="15.75" customHeight="1">
      <c r="AM910" s="103"/>
      <c r="AN910" s="103"/>
      <c r="AO910" s="103"/>
      <c r="AQ910" s="103"/>
      <c r="AR910" s="103"/>
      <c r="AS910" s="103"/>
    </row>
    <row r="911" ht="15.75" customHeight="1">
      <c r="AM911" s="103"/>
      <c r="AN911" s="103"/>
      <c r="AO911" s="103"/>
      <c r="AQ911" s="103"/>
      <c r="AR911" s="103"/>
      <c r="AS911" s="103"/>
    </row>
    <row r="912" ht="15.75" customHeight="1">
      <c r="AM912" s="103"/>
      <c r="AN912" s="103"/>
      <c r="AO912" s="103"/>
      <c r="AQ912" s="103"/>
      <c r="AR912" s="103"/>
      <c r="AS912" s="103"/>
    </row>
    <row r="913" ht="15.75" customHeight="1">
      <c r="AM913" s="103"/>
      <c r="AN913" s="103"/>
      <c r="AO913" s="103"/>
      <c r="AQ913" s="103"/>
      <c r="AR913" s="103"/>
      <c r="AS913" s="103"/>
    </row>
    <row r="914" ht="15.75" customHeight="1">
      <c r="AM914" s="103"/>
      <c r="AN914" s="103"/>
      <c r="AO914" s="103"/>
      <c r="AQ914" s="103"/>
      <c r="AR914" s="103"/>
      <c r="AS914" s="103"/>
    </row>
    <row r="915" ht="15.75" customHeight="1">
      <c r="AM915" s="103"/>
      <c r="AN915" s="103"/>
      <c r="AO915" s="103"/>
      <c r="AQ915" s="103"/>
      <c r="AR915" s="103"/>
      <c r="AS915" s="103"/>
    </row>
    <row r="916" ht="15.75" customHeight="1">
      <c r="AM916" s="103"/>
      <c r="AN916" s="103"/>
      <c r="AO916" s="103"/>
      <c r="AQ916" s="103"/>
      <c r="AR916" s="103"/>
      <c r="AS916" s="103"/>
    </row>
    <row r="917" ht="15.75" customHeight="1">
      <c r="AM917" s="103"/>
      <c r="AN917" s="103"/>
      <c r="AO917" s="103"/>
      <c r="AQ917" s="103"/>
      <c r="AR917" s="103"/>
      <c r="AS917" s="103"/>
    </row>
    <row r="918" ht="15.75" customHeight="1">
      <c r="AM918" s="103"/>
      <c r="AN918" s="103"/>
      <c r="AO918" s="103"/>
      <c r="AQ918" s="103"/>
      <c r="AR918" s="103"/>
      <c r="AS918" s="103"/>
    </row>
    <row r="919" ht="15.75" customHeight="1">
      <c r="AM919" s="103"/>
      <c r="AN919" s="103"/>
      <c r="AO919" s="103"/>
      <c r="AQ919" s="103"/>
      <c r="AR919" s="103"/>
      <c r="AS919" s="103"/>
    </row>
    <row r="920" ht="15.75" customHeight="1">
      <c r="AM920" s="103"/>
      <c r="AN920" s="103"/>
      <c r="AO920" s="103"/>
      <c r="AQ920" s="103"/>
      <c r="AR920" s="103"/>
      <c r="AS920" s="103"/>
    </row>
    <row r="921" ht="15.75" customHeight="1">
      <c r="AM921" s="103"/>
      <c r="AN921" s="103"/>
      <c r="AO921" s="103"/>
      <c r="AQ921" s="103"/>
      <c r="AR921" s="103"/>
      <c r="AS921" s="103"/>
    </row>
    <row r="922" ht="15.75" customHeight="1">
      <c r="AM922" s="103"/>
      <c r="AN922" s="103"/>
      <c r="AO922" s="103"/>
      <c r="AQ922" s="103"/>
      <c r="AR922" s="103"/>
      <c r="AS922" s="103"/>
    </row>
    <row r="923" ht="15.75" customHeight="1">
      <c r="AM923" s="103"/>
      <c r="AN923" s="103"/>
      <c r="AO923" s="103"/>
      <c r="AQ923" s="103"/>
      <c r="AR923" s="103"/>
      <c r="AS923" s="103"/>
    </row>
    <row r="924" ht="15.75" customHeight="1">
      <c r="AM924" s="103"/>
      <c r="AN924" s="103"/>
      <c r="AO924" s="103"/>
      <c r="AQ924" s="103"/>
      <c r="AR924" s="103"/>
      <c r="AS924" s="103"/>
    </row>
    <row r="925" ht="15.75" customHeight="1">
      <c r="AM925" s="103"/>
      <c r="AN925" s="103"/>
      <c r="AO925" s="103"/>
      <c r="AQ925" s="103"/>
      <c r="AR925" s="103"/>
      <c r="AS925" s="103"/>
    </row>
    <row r="926" ht="15.75" customHeight="1">
      <c r="AM926" s="103"/>
      <c r="AN926" s="103"/>
      <c r="AO926" s="103"/>
      <c r="AQ926" s="103"/>
      <c r="AR926" s="103"/>
      <c r="AS926" s="103"/>
    </row>
    <row r="927" ht="15.75" customHeight="1">
      <c r="AM927" s="103"/>
      <c r="AN927" s="103"/>
      <c r="AO927" s="103"/>
      <c r="AQ927" s="103"/>
      <c r="AR927" s="103"/>
      <c r="AS927" s="103"/>
    </row>
    <row r="928" ht="15.75" customHeight="1">
      <c r="AM928" s="103"/>
      <c r="AN928" s="103"/>
      <c r="AO928" s="103"/>
      <c r="AQ928" s="103"/>
      <c r="AR928" s="103"/>
      <c r="AS928" s="103"/>
    </row>
    <row r="929" ht="15.75" customHeight="1">
      <c r="AM929" s="103"/>
      <c r="AN929" s="103"/>
      <c r="AO929" s="103"/>
      <c r="AQ929" s="103"/>
      <c r="AR929" s="103"/>
      <c r="AS929" s="103"/>
    </row>
    <row r="930" ht="15.75" customHeight="1">
      <c r="AM930" s="103"/>
      <c r="AN930" s="103"/>
      <c r="AO930" s="103"/>
      <c r="AQ930" s="103"/>
      <c r="AR930" s="103"/>
      <c r="AS930" s="103"/>
    </row>
    <row r="931" ht="15.75" customHeight="1">
      <c r="AM931" s="103"/>
      <c r="AN931" s="103"/>
      <c r="AO931" s="103"/>
      <c r="AQ931" s="103"/>
      <c r="AR931" s="103"/>
      <c r="AS931" s="103"/>
    </row>
    <row r="932" ht="15.75" customHeight="1">
      <c r="AM932" s="103"/>
      <c r="AN932" s="103"/>
      <c r="AO932" s="103"/>
      <c r="AQ932" s="103"/>
      <c r="AR932" s="103"/>
      <c r="AS932" s="103"/>
    </row>
    <row r="933" ht="15.75" customHeight="1">
      <c r="AM933" s="103"/>
      <c r="AN933" s="103"/>
      <c r="AO933" s="103"/>
      <c r="AQ933" s="103"/>
      <c r="AR933" s="103"/>
      <c r="AS933" s="103"/>
    </row>
    <row r="934" ht="15.75" customHeight="1">
      <c r="AM934" s="103"/>
      <c r="AN934" s="103"/>
      <c r="AO934" s="103"/>
      <c r="AQ934" s="103"/>
      <c r="AR934" s="103"/>
      <c r="AS934" s="103"/>
    </row>
    <row r="935" ht="15.75" customHeight="1">
      <c r="AM935" s="103"/>
      <c r="AN935" s="103"/>
      <c r="AO935" s="103"/>
      <c r="AQ935" s="103"/>
      <c r="AR935" s="103"/>
      <c r="AS935" s="103"/>
    </row>
    <row r="936" ht="15.75" customHeight="1">
      <c r="AM936" s="103"/>
      <c r="AN936" s="103"/>
      <c r="AO936" s="103"/>
      <c r="AQ936" s="103"/>
      <c r="AR936" s="103"/>
      <c r="AS936" s="103"/>
    </row>
    <row r="937" ht="15.75" customHeight="1">
      <c r="AM937" s="103"/>
      <c r="AN937" s="103"/>
      <c r="AO937" s="103"/>
      <c r="AQ937" s="103"/>
      <c r="AR937" s="103"/>
      <c r="AS937" s="103"/>
    </row>
    <row r="938" ht="15.75" customHeight="1">
      <c r="AM938" s="103"/>
      <c r="AN938" s="103"/>
      <c r="AO938" s="103"/>
      <c r="AQ938" s="103"/>
      <c r="AR938" s="103"/>
      <c r="AS938" s="103"/>
    </row>
    <row r="939" ht="15.75" customHeight="1">
      <c r="AM939" s="103"/>
      <c r="AN939" s="103"/>
      <c r="AO939" s="103"/>
      <c r="AQ939" s="103"/>
      <c r="AR939" s="103"/>
      <c r="AS939" s="103"/>
    </row>
    <row r="940" ht="15.75" customHeight="1">
      <c r="AM940" s="103"/>
      <c r="AN940" s="103"/>
      <c r="AO940" s="103"/>
      <c r="AQ940" s="103"/>
      <c r="AR940" s="103"/>
      <c r="AS940" s="103"/>
    </row>
    <row r="941" ht="15.75" customHeight="1">
      <c r="AM941" s="103"/>
      <c r="AN941" s="103"/>
      <c r="AO941" s="103"/>
      <c r="AQ941" s="103"/>
      <c r="AR941" s="103"/>
      <c r="AS941" s="103"/>
    </row>
    <row r="942" ht="15.75" customHeight="1">
      <c r="AM942" s="103"/>
      <c r="AN942" s="103"/>
      <c r="AO942" s="103"/>
      <c r="AQ942" s="103"/>
      <c r="AR942" s="103"/>
      <c r="AS942" s="103"/>
    </row>
    <row r="943" ht="15.75" customHeight="1">
      <c r="AM943" s="103"/>
      <c r="AN943" s="103"/>
      <c r="AO943" s="103"/>
      <c r="AQ943" s="103"/>
      <c r="AR943" s="103"/>
      <c r="AS943" s="103"/>
    </row>
    <row r="944" ht="15.75" customHeight="1">
      <c r="AM944" s="103"/>
      <c r="AN944" s="103"/>
      <c r="AO944" s="103"/>
      <c r="AQ944" s="103"/>
      <c r="AR944" s="103"/>
      <c r="AS944" s="103"/>
    </row>
    <row r="945" ht="15.75" customHeight="1">
      <c r="AM945" s="103"/>
      <c r="AN945" s="103"/>
      <c r="AO945" s="103"/>
      <c r="AQ945" s="103"/>
      <c r="AR945" s="103"/>
      <c r="AS945" s="103"/>
    </row>
    <row r="946" ht="15.75" customHeight="1">
      <c r="AM946" s="103"/>
      <c r="AN946" s="103"/>
      <c r="AO946" s="103"/>
      <c r="AQ946" s="103"/>
      <c r="AR946" s="103"/>
      <c r="AS946" s="103"/>
    </row>
    <row r="947" ht="15.75" customHeight="1">
      <c r="AM947" s="103"/>
      <c r="AN947" s="103"/>
      <c r="AO947" s="103"/>
      <c r="AQ947" s="103"/>
      <c r="AR947" s="103"/>
      <c r="AS947" s="103"/>
    </row>
    <row r="948" ht="15.75" customHeight="1">
      <c r="AM948" s="103"/>
      <c r="AN948" s="103"/>
      <c r="AO948" s="103"/>
      <c r="AQ948" s="103"/>
      <c r="AR948" s="103"/>
      <c r="AS948" s="103"/>
    </row>
    <row r="949" ht="15.75" customHeight="1">
      <c r="AM949" s="103"/>
      <c r="AN949" s="103"/>
      <c r="AO949" s="103"/>
      <c r="AQ949" s="103"/>
      <c r="AR949" s="103"/>
      <c r="AS949" s="103"/>
    </row>
    <row r="950" ht="15.75" customHeight="1">
      <c r="AM950" s="103"/>
      <c r="AN950" s="103"/>
      <c r="AO950" s="103"/>
      <c r="AQ950" s="103"/>
      <c r="AR950" s="103"/>
      <c r="AS950" s="103"/>
    </row>
    <row r="951" ht="15.75" customHeight="1">
      <c r="AM951" s="103"/>
      <c r="AN951" s="103"/>
      <c r="AO951" s="103"/>
      <c r="AQ951" s="103"/>
      <c r="AR951" s="103"/>
      <c r="AS951" s="103"/>
    </row>
    <row r="952" ht="15.75" customHeight="1">
      <c r="AM952" s="103"/>
      <c r="AN952" s="103"/>
      <c r="AO952" s="103"/>
      <c r="AQ952" s="103"/>
      <c r="AR952" s="103"/>
      <c r="AS952" s="103"/>
    </row>
    <row r="953" ht="15.75" customHeight="1">
      <c r="AM953" s="103"/>
      <c r="AN953" s="103"/>
      <c r="AO953" s="103"/>
      <c r="AQ953" s="103"/>
      <c r="AR953" s="103"/>
      <c r="AS953" s="103"/>
    </row>
    <row r="954" ht="15.75" customHeight="1">
      <c r="AM954" s="103"/>
      <c r="AN954" s="103"/>
      <c r="AO954" s="103"/>
      <c r="AQ954" s="103"/>
      <c r="AR954" s="103"/>
      <c r="AS954" s="103"/>
    </row>
    <row r="955" ht="15.75" customHeight="1">
      <c r="AM955" s="103"/>
      <c r="AN955" s="103"/>
      <c r="AO955" s="103"/>
      <c r="AQ955" s="103"/>
      <c r="AR955" s="103"/>
      <c r="AS955" s="103"/>
    </row>
    <row r="956" ht="15.75" customHeight="1">
      <c r="AM956" s="103"/>
      <c r="AN956" s="103"/>
      <c r="AO956" s="103"/>
      <c r="AQ956" s="103"/>
      <c r="AR956" s="103"/>
      <c r="AS956" s="103"/>
    </row>
    <row r="957" ht="15.75" customHeight="1">
      <c r="AM957" s="103"/>
      <c r="AN957" s="103"/>
      <c r="AO957" s="103"/>
      <c r="AQ957" s="103"/>
      <c r="AR957" s="103"/>
      <c r="AS957" s="103"/>
    </row>
    <row r="958" ht="15.75" customHeight="1">
      <c r="AM958" s="103"/>
      <c r="AN958" s="103"/>
      <c r="AO958" s="103"/>
      <c r="AQ958" s="103"/>
      <c r="AR958" s="103"/>
      <c r="AS958" s="103"/>
    </row>
    <row r="959" ht="15.75" customHeight="1">
      <c r="AM959" s="103"/>
      <c r="AN959" s="103"/>
      <c r="AO959" s="103"/>
      <c r="AQ959" s="103"/>
      <c r="AR959" s="103"/>
      <c r="AS959" s="103"/>
    </row>
    <row r="960" ht="15.75" customHeight="1">
      <c r="AM960" s="103"/>
      <c r="AN960" s="103"/>
      <c r="AO960" s="103"/>
      <c r="AQ960" s="103"/>
      <c r="AR960" s="103"/>
      <c r="AS960" s="103"/>
    </row>
    <row r="961" ht="15.75" customHeight="1">
      <c r="AM961" s="103"/>
      <c r="AN961" s="103"/>
      <c r="AO961" s="103"/>
      <c r="AQ961" s="103"/>
      <c r="AR961" s="103"/>
      <c r="AS961" s="103"/>
    </row>
    <row r="962" ht="15.75" customHeight="1">
      <c r="AM962" s="103"/>
      <c r="AN962" s="103"/>
      <c r="AO962" s="103"/>
      <c r="AQ962" s="103"/>
      <c r="AR962" s="103"/>
      <c r="AS962" s="103"/>
    </row>
    <row r="963" ht="15.75" customHeight="1">
      <c r="AM963" s="103"/>
      <c r="AN963" s="103"/>
      <c r="AO963" s="103"/>
      <c r="AQ963" s="103"/>
      <c r="AR963" s="103"/>
      <c r="AS963" s="103"/>
    </row>
    <row r="964" ht="15.75" customHeight="1">
      <c r="AM964" s="103"/>
      <c r="AN964" s="103"/>
      <c r="AO964" s="103"/>
      <c r="AQ964" s="103"/>
      <c r="AR964" s="103"/>
      <c r="AS964" s="103"/>
    </row>
    <row r="965" ht="15.75" customHeight="1">
      <c r="AM965" s="103"/>
      <c r="AN965" s="103"/>
      <c r="AO965" s="103"/>
      <c r="AQ965" s="103"/>
      <c r="AR965" s="103"/>
      <c r="AS965" s="103"/>
    </row>
    <row r="966" ht="15.75" customHeight="1">
      <c r="AM966" s="103"/>
      <c r="AN966" s="103"/>
      <c r="AO966" s="103"/>
      <c r="AQ966" s="103"/>
      <c r="AR966" s="103"/>
      <c r="AS966" s="103"/>
    </row>
    <row r="967" ht="15.75" customHeight="1">
      <c r="AM967" s="103"/>
      <c r="AN967" s="103"/>
      <c r="AO967" s="103"/>
      <c r="AQ967" s="103"/>
      <c r="AR967" s="103"/>
      <c r="AS967" s="103"/>
    </row>
    <row r="968" ht="15.75" customHeight="1">
      <c r="AM968" s="103"/>
      <c r="AN968" s="103"/>
      <c r="AO968" s="103"/>
      <c r="AQ968" s="103"/>
      <c r="AR968" s="103"/>
      <c r="AS968" s="103"/>
    </row>
    <row r="969" ht="15.75" customHeight="1">
      <c r="AM969" s="103"/>
      <c r="AN969" s="103"/>
      <c r="AO969" s="103"/>
      <c r="AQ969" s="103"/>
      <c r="AR969" s="103"/>
      <c r="AS969" s="103"/>
    </row>
    <row r="970" ht="15.75" customHeight="1">
      <c r="AM970" s="103"/>
      <c r="AN970" s="103"/>
      <c r="AO970" s="103"/>
      <c r="AQ970" s="103"/>
      <c r="AR970" s="103"/>
      <c r="AS970" s="103"/>
    </row>
    <row r="971" ht="15.75" customHeight="1">
      <c r="AM971" s="103"/>
      <c r="AN971" s="103"/>
      <c r="AO971" s="103"/>
      <c r="AQ971" s="103"/>
      <c r="AR971" s="103"/>
      <c r="AS971" s="103"/>
    </row>
    <row r="972" ht="15.75" customHeight="1">
      <c r="AM972" s="103"/>
      <c r="AN972" s="103"/>
      <c r="AO972" s="103"/>
      <c r="AQ972" s="103"/>
      <c r="AR972" s="103"/>
      <c r="AS972" s="103"/>
    </row>
    <row r="973" ht="15.75" customHeight="1">
      <c r="AM973" s="103"/>
      <c r="AN973" s="103"/>
      <c r="AO973" s="103"/>
      <c r="AQ973" s="103"/>
      <c r="AR973" s="103"/>
      <c r="AS973" s="103"/>
    </row>
    <row r="974" ht="15.75" customHeight="1">
      <c r="AM974" s="103"/>
      <c r="AN974" s="103"/>
      <c r="AO974" s="103"/>
      <c r="AQ974" s="103"/>
      <c r="AR974" s="103"/>
      <c r="AS974" s="103"/>
    </row>
    <row r="975" ht="15.75" customHeight="1">
      <c r="AM975" s="103"/>
      <c r="AN975" s="103"/>
      <c r="AO975" s="103"/>
      <c r="AQ975" s="103"/>
      <c r="AR975" s="103"/>
      <c r="AS975" s="103"/>
    </row>
    <row r="976" ht="15.75" customHeight="1">
      <c r="AM976" s="103"/>
      <c r="AN976" s="103"/>
      <c r="AO976" s="103"/>
      <c r="AQ976" s="103"/>
      <c r="AR976" s="103"/>
      <c r="AS976" s="103"/>
    </row>
    <row r="977" ht="15.75" customHeight="1">
      <c r="AM977" s="103"/>
      <c r="AN977" s="103"/>
      <c r="AO977" s="103"/>
      <c r="AQ977" s="103"/>
      <c r="AR977" s="103"/>
      <c r="AS977" s="103"/>
    </row>
    <row r="978" ht="15.75" customHeight="1">
      <c r="AM978" s="103"/>
      <c r="AN978" s="103"/>
      <c r="AO978" s="103"/>
      <c r="AQ978" s="103"/>
      <c r="AR978" s="103"/>
      <c r="AS978" s="103"/>
    </row>
    <row r="979" ht="15.75" customHeight="1">
      <c r="AM979" s="103"/>
      <c r="AN979" s="103"/>
      <c r="AO979" s="103"/>
      <c r="AQ979" s="103"/>
      <c r="AR979" s="103"/>
      <c r="AS979" s="103"/>
    </row>
    <row r="980" ht="15.75" customHeight="1">
      <c r="AM980" s="103"/>
      <c r="AN980" s="103"/>
      <c r="AO980" s="103"/>
      <c r="AQ980" s="103"/>
      <c r="AR980" s="103"/>
      <c r="AS980" s="103"/>
    </row>
    <row r="981" ht="15.75" customHeight="1">
      <c r="AM981" s="103"/>
      <c r="AN981" s="103"/>
      <c r="AO981" s="103"/>
      <c r="AQ981" s="103"/>
      <c r="AR981" s="103"/>
      <c r="AS981" s="103"/>
    </row>
    <row r="982" ht="15.75" customHeight="1">
      <c r="AM982" s="103"/>
      <c r="AN982" s="103"/>
      <c r="AO982" s="103"/>
      <c r="AQ982" s="103"/>
      <c r="AR982" s="103"/>
      <c r="AS982" s="103"/>
    </row>
    <row r="983" ht="15.75" customHeight="1">
      <c r="AM983" s="103"/>
      <c r="AN983" s="103"/>
      <c r="AO983" s="103"/>
      <c r="AQ983" s="103"/>
      <c r="AR983" s="103"/>
      <c r="AS983" s="103"/>
    </row>
    <row r="984" ht="15.75" customHeight="1">
      <c r="AM984" s="103"/>
      <c r="AN984" s="103"/>
      <c r="AO984" s="103"/>
      <c r="AQ984" s="103"/>
      <c r="AR984" s="103"/>
      <c r="AS984" s="103"/>
    </row>
    <row r="985" ht="15.75" customHeight="1">
      <c r="AM985" s="103"/>
      <c r="AN985" s="103"/>
      <c r="AO985" s="103"/>
      <c r="AQ985" s="103"/>
      <c r="AR985" s="103"/>
      <c r="AS985" s="103"/>
    </row>
    <row r="986" ht="15.75" customHeight="1">
      <c r="AM986" s="103"/>
      <c r="AN986" s="103"/>
      <c r="AO986" s="103"/>
      <c r="AQ986" s="103"/>
      <c r="AR986" s="103"/>
      <c r="AS986" s="103"/>
    </row>
    <row r="987" ht="15.75" customHeight="1">
      <c r="AM987" s="103"/>
      <c r="AN987" s="103"/>
      <c r="AO987" s="103"/>
      <c r="AQ987" s="103"/>
      <c r="AR987" s="103"/>
      <c r="AS987" s="103"/>
    </row>
    <row r="988" ht="15.75" customHeight="1">
      <c r="AM988" s="103"/>
      <c r="AN988" s="103"/>
      <c r="AO988" s="103"/>
      <c r="AQ988" s="103"/>
      <c r="AR988" s="103"/>
      <c r="AS988" s="103"/>
    </row>
    <row r="989" ht="15.75" customHeight="1">
      <c r="AM989" s="103"/>
      <c r="AN989" s="103"/>
      <c r="AO989" s="103"/>
      <c r="AQ989" s="103"/>
      <c r="AR989" s="103"/>
      <c r="AS989" s="103"/>
    </row>
    <row r="990" ht="15.75" customHeight="1">
      <c r="AM990" s="103"/>
      <c r="AN990" s="103"/>
      <c r="AO990" s="103"/>
      <c r="AQ990" s="103"/>
      <c r="AR990" s="103"/>
      <c r="AS990" s="103"/>
    </row>
    <row r="991" ht="15.75" customHeight="1">
      <c r="AM991" s="103"/>
      <c r="AN991" s="103"/>
      <c r="AO991" s="103"/>
      <c r="AQ991" s="103"/>
      <c r="AR991" s="103"/>
      <c r="AS991" s="103"/>
    </row>
    <row r="992" ht="15.75" customHeight="1">
      <c r="AM992" s="103"/>
      <c r="AN992" s="103"/>
      <c r="AO992" s="103"/>
      <c r="AQ992" s="103"/>
      <c r="AR992" s="103"/>
      <c r="AS992" s="103"/>
    </row>
    <row r="993" ht="15.75" customHeight="1">
      <c r="AM993" s="103"/>
      <c r="AN993" s="103"/>
      <c r="AO993" s="103"/>
      <c r="AQ993" s="103"/>
      <c r="AR993" s="103"/>
      <c r="AS993" s="103"/>
    </row>
    <row r="994" ht="15.75" customHeight="1">
      <c r="AM994" s="103"/>
      <c r="AN994" s="103"/>
      <c r="AO994" s="103"/>
      <c r="AQ994" s="103"/>
      <c r="AR994" s="103"/>
      <c r="AS994" s="103"/>
    </row>
    <row r="995" ht="15.75" customHeight="1">
      <c r="AM995" s="103"/>
      <c r="AN995" s="103"/>
      <c r="AO995" s="103"/>
      <c r="AQ995" s="103"/>
      <c r="AR995" s="103"/>
      <c r="AS995" s="103"/>
    </row>
    <row r="996" ht="15.75" customHeight="1">
      <c r="AM996" s="103"/>
      <c r="AN996" s="103"/>
      <c r="AO996" s="103"/>
      <c r="AQ996" s="103"/>
      <c r="AR996" s="103"/>
      <c r="AS996" s="103"/>
    </row>
    <row r="997" ht="15.75" customHeight="1">
      <c r="AM997" s="103"/>
      <c r="AN997" s="103"/>
      <c r="AO997" s="103"/>
      <c r="AQ997" s="103"/>
      <c r="AR997" s="103"/>
      <c r="AS997" s="103"/>
    </row>
    <row r="998" ht="15.75" customHeight="1">
      <c r="AM998" s="103"/>
      <c r="AN998" s="103"/>
      <c r="AO998" s="103"/>
      <c r="AQ998" s="103"/>
      <c r="AR998" s="103"/>
      <c r="AS998" s="103"/>
    </row>
    <row r="999" ht="15.75" customHeight="1">
      <c r="AM999" s="103"/>
      <c r="AN999" s="103"/>
      <c r="AO999" s="103"/>
      <c r="AQ999" s="103"/>
      <c r="AR999" s="103"/>
      <c r="AS999" s="103"/>
    </row>
    <row r="1000" ht="15.75" customHeight="1">
      <c r="AM1000" s="103"/>
      <c r="AN1000" s="103"/>
      <c r="AO1000" s="103"/>
      <c r="AQ1000" s="103"/>
      <c r="AR1000" s="103"/>
      <c r="AS1000" s="103"/>
    </row>
  </sheetData>
  <mergeCells count="148">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BK11:BM11"/>
    <mergeCell ref="U19:U20"/>
    <mergeCell ref="V19:V20"/>
    <mergeCell ref="W19:W20"/>
    <mergeCell ref="X19:X20"/>
    <mergeCell ref="B18:Y18"/>
    <mergeCell ref="O19:O20"/>
    <mergeCell ref="P19:P20"/>
    <mergeCell ref="Q19:Q20"/>
    <mergeCell ref="R19:R20"/>
    <mergeCell ref="S19:S20"/>
    <mergeCell ref="T19:T20"/>
    <mergeCell ref="Y19:Y20"/>
    <mergeCell ref="AM19:AM20"/>
    <mergeCell ref="AN19:AN20"/>
    <mergeCell ref="BK19:BM19"/>
    <mergeCell ref="AE19:AE20"/>
    <mergeCell ref="AF19:AF20"/>
    <mergeCell ref="AG19:AG20"/>
    <mergeCell ref="AH19:AH20"/>
    <mergeCell ref="AJ19:AJ20"/>
    <mergeCell ref="AK19:AK20"/>
    <mergeCell ref="AL19:AL20"/>
    <mergeCell ref="W11:W12"/>
    <mergeCell ref="X11:X12"/>
    <mergeCell ref="Z11:Z12"/>
    <mergeCell ref="AA11:AA12"/>
    <mergeCell ref="AB11:AB12"/>
    <mergeCell ref="AC11:AC12"/>
    <mergeCell ref="AD11:AD12"/>
    <mergeCell ref="AE11:AE12"/>
    <mergeCell ref="AF11:AF12"/>
    <mergeCell ref="AG11:AG12"/>
    <mergeCell ref="AH11:AH12"/>
    <mergeCell ref="AJ11:AJ12"/>
    <mergeCell ref="AK11:AK12"/>
    <mergeCell ref="AL11:AL12"/>
    <mergeCell ref="AU11:AU12"/>
    <mergeCell ref="AV11:AV12"/>
    <mergeCell ref="B11:B12"/>
    <mergeCell ref="B13:B14"/>
    <mergeCell ref="B15:E15"/>
    <mergeCell ref="B19:B20"/>
    <mergeCell ref="C19:C20"/>
    <mergeCell ref="D19:D20"/>
    <mergeCell ref="E19:E20"/>
    <mergeCell ref="J3:Q6"/>
    <mergeCell ref="B10:Y10"/>
    <mergeCell ref="C11:C12"/>
    <mergeCell ref="D11:D12"/>
    <mergeCell ref="E11:E12"/>
    <mergeCell ref="F11:F12"/>
    <mergeCell ref="Y11:Y12"/>
    <mergeCell ref="U11:U12"/>
    <mergeCell ref="V11:V12"/>
    <mergeCell ref="Z19:Z20"/>
    <mergeCell ref="AA19:AA20"/>
    <mergeCell ref="AB19:AB20"/>
    <mergeCell ref="AC19:AC20"/>
    <mergeCell ref="AD19:AD20"/>
    <mergeCell ref="AO19:AO20"/>
    <mergeCell ref="AQ19:AQ20"/>
    <mergeCell ref="AR19:AR20"/>
    <mergeCell ref="AS19:AS20"/>
    <mergeCell ref="AT19:AT20"/>
    <mergeCell ref="AU19:AU20"/>
    <mergeCell ref="AV19:AV20"/>
    <mergeCell ref="AM11:AM12"/>
    <mergeCell ref="AN11:AN12"/>
    <mergeCell ref="AO11:AO12"/>
    <mergeCell ref="AQ11:AQ12"/>
    <mergeCell ref="AR11:AR12"/>
    <mergeCell ref="AS11:AS12"/>
    <mergeCell ref="AT11:AT12"/>
    <mergeCell ref="M19:M20"/>
    <mergeCell ref="N19:N20"/>
    <mergeCell ref="F19:F20"/>
    <mergeCell ref="G19:G20"/>
    <mergeCell ref="H19:H20"/>
    <mergeCell ref="I19:I20"/>
    <mergeCell ref="J19:J20"/>
    <mergeCell ref="K19:K20"/>
    <mergeCell ref="L19:L20"/>
    <mergeCell ref="F27:F28"/>
    <mergeCell ref="G27:G28"/>
    <mergeCell ref="B29:B30"/>
    <mergeCell ref="B31:E31"/>
    <mergeCell ref="H27:H28"/>
    <mergeCell ref="I27:I28"/>
    <mergeCell ref="J27:J28"/>
    <mergeCell ref="K27:K28"/>
    <mergeCell ref="L27:L28"/>
    <mergeCell ref="M27:M28"/>
    <mergeCell ref="N27:N28"/>
    <mergeCell ref="O27:O28"/>
    <mergeCell ref="AU27:AU28"/>
    <mergeCell ref="AV27:AV28"/>
    <mergeCell ref="BK27:BM27"/>
    <mergeCell ref="AM27:AM28"/>
    <mergeCell ref="AN27:AN28"/>
    <mergeCell ref="AO27:AO28"/>
    <mergeCell ref="AQ27:AQ28"/>
    <mergeCell ref="AR27:AR28"/>
    <mergeCell ref="AS27:AS28"/>
    <mergeCell ref="AT27:AT28"/>
    <mergeCell ref="P27:P28"/>
    <mergeCell ref="Q27:Q28"/>
    <mergeCell ref="R27:R28"/>
    <mergeCell ref="S27:S28"/>
    <mergeCell ref="T27:T28"/>
    <mergeCell ref="U27:U28"/>
    <mergeCell ref="V27:V28"/>
    <mergeCell ref="W27:W28"/>
    <mergeCell ref="B21:B22"/>
    <mergeCell ref="B23:E23"/>
    <mergeCell ref="B26:Y26"/>
    <mergeCell ref="B27:B28"/>
    <mergeCell ref="C27:C28"/>
    <mergeCell ref="D27:D28"/>
    <mergeCell ref="E27:E28"/>
    <mergeCell ref="X27:X28"/>
    <mergeCell ref="Y27:Y28"/>
    <mergeCell ref="Z27:Z28"/>
    <mergeCell ref="AA27:AA28"/>
    <mergeCell ref="AB27:AB28"/>
    <mergeCell ref="AC27:AC28"/>
    <mergeCell ref="AD27:AD28"/>
    <mergeCell ref="AE27:AE28"/>
    <mergeCell ref="AF27:AF28"/>
    <mergeCell ref="AG27:AG28"/>
    <mergeCell ref="AH27:AH28"/>
    <mergeCell ref="AJ27:AJ28"/>
    <mergeCell ref="AK27:AK28"/>
    <mergeCell ref="AL27:AL28"/>
  </mergeCells>
  <printOptions gridLines="1" horizontalCentered="1"/>
  <pageMargins bottom="0.75" footer="0.0" header="0.0" left="0.25" right="0.25" top="0.75"/>
  <pageSetup fitToHeight="0" paperSize="8"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0"/>
  <cols>
    <col customWidth="1" min="1" max="1" width="3.13"/>
    <col customWidth="1" min="2" max="2" width="24.63"/>
    <col customWidth="1" min="3" max="3" width="29.63"/>
    <col customWidth="1" hidden="1" min="4" max="5" width="33.13"/>
    <col customWidth="1" hidden="1" min="6" max="6" width="13.38"/>
    <col customWidth="1" hidden="1" min="7" max="7" width="33.13"/>
    <col customWidth="1" hidden="1" min="8" max="8" width="15.38"/>
    <col customWidth="1" min="9" max="10" width="12.88"/>
    <col customWidth="1" min="11" max="11" width="17.88"/>
    <col customWidth="1" min="12" max="14" width="12.88"/>
    <col customWidth="1" min="15" max="15" width="17.88"/>
    <col customWidth="1" min="16" max="16" width="12.88"/>
    <col customWidth="1" min="17" max="17" width="16.13"/>
    <col customWidth="1" min="18" max="18" width="18.5"/>
    <col customWidth="1" min="19" max="19" width="16.13"/>
    <col customWidth="1" min="20" max="20" width="25.88"/>
    <col customWidth="1" min="21" max="23" width="19.75"/>
    <col customWidth="1" min="24" max="24" width="19.0"/>
    <col customWidth="1" min="25" max="25" width="18.88"/>
    <col customWidth="1" min="26" max="35" width="19.0"/>
    <col customWidth="1" min="36" max="36" width="25.38"/>
    <col customWidth="1" min="37" max="48" width="19.0"/>
    <col customWidth="1" min="49" max="53" width="9.5"/>
    <col customWidth="1" min="54" max="59" width="3.88"/>
    <col customWidth="1" hidden="1" min="60" max="78" width="12.63"/>
  </cols>
  <sheetData>
    <row r="1" ht="18.0" customHeight="1">
      <c r="A1" s="1"/>
      <c r="B1" s="2"/>
      <c r="C1" s="2"/>
      <c r="D1" s="2"/>
      <c r="E1" s="2"/>
      <c r="F1" s="2"/>
      <c r="G1" s="2"/>
      <c r="H1" s="2"/>
      <c r="I1" s="3"/>
      <c r="J1" s="3"/>
      <c r="K1" s="3" t="s">
        <v>0</v>
      </c>
      <c r="L1" s="3"/>
      <c r="M1" s="3"/>
      <c r="N1" s="3"/>
      <c r="O1" s="3"/>
      <c r="P1" s="3"/>
      <c r="Q1" s="3"/>
      <c r="R1" s="3"/>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5"/>
      <c r="AX1" s="5"/>
      <c r="AY1" s="5"/>
      <c r="AZ1" s="5"/>
      <c r="BA1" s="5"/>
      <c r="BB1" s="2"/>
      <c r="BC1" s="6"/>
      <c r="BD1" s="6"/>
      <c r="BE1" s="6"/>
      <c r="BF1" s="6"/>
      <c r="BG1" s="6"/>
      <c r="BH1" s="7"/>
      <c r="BI1" s="7"/>
      <c r="BJ1" s="7"/>
      <c r="BK1" s="7"/>
      <c r="BL1" s="7"/>
      <c r="BM1" s="7"/>
      <c r="BN1" s="7"/>
      <c r="BO1" s="7"/>
      <c r="BP1" s="7"/>
      <c r="BQ1" s="7"/>
      <c r="BR1" s="7"/>
      <c r="BS1" s="7"/>
      <c r="BT1" s="7"/>
      <c r="BU1" s="7"/>
      <c r="BV1" s="7"/>
      <c r="BW1" s="7"/>
      <c r="BX1" s="7"/>
      <c r="BY1" s="7"/>
      <c r="BZ1" s="7"/>
      <c r="CA1" s="7"/>
    </row>
    <row r="2" ht="30.0" customHeight="1">
      <c r="A2" s="2"/>
      <c r="B2" s="8" t="s">
        <v>1</v>
      </c>
      <c r="C2" s="9" t="s">
        <v>2</v>
      </c>
      <c r="D2" s="10"/>
      <c r="E2" s="11"/>
      <c r="F2" s="12"/>
      <c r="G2" s="12"/>
      <c r="H2" s="10"/>
      <c r="I2" s="13"/>
      <c r="J2" s="13"/>
      <c r="K2" s="14"/>
      <c r="L2" s="13"/>
      <c r="M2" s="18" t="str">
        <f>IFERROR(__xludf.DUMMYFUNCTION("AI(""i need you to act like a best in class media planner, can you summarise the story we're seeing here across reach and frequency across audiences between months"",C11:Y15)"),"Here's a summary of the story across reach and frequency for each audience segment:  * **Audience:** Reach and frequency remain relatively stable from February to April, with a slight decrease in May and June.
  * **Contextual:** Reach shows a decreasing "&amp;"trend from February to June, while frequency remains consistent.
  * **Subscribers:** Reach and frequency show a decreasing trend from February to June.")</f>
        <v>Here's a summary of the story across reach and frequency for each audience segment:  * **Audience:** Reach and frequency remain relatively stable from February to April, with a slight decrease in May and June.
  * **Contextual:** Reach shows a decreasing trend from February to June, while frequency remains consistent.
  * **Subscribers:** Reach and frequency show a decreasing trend from February to June.</v>
      </c>
      <c r="N2" s="19"/>
      <c r="O2" s="19"/>
      <c r="P2" s="19"/>
      <c r="Q2" s="19"/>
      <c r="R2" s="19"/>
      <c r="S2" s="19"/>
      <c r="T2" s="20"/>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5"/>
      <c r="AX2" s="5"/>
      <c r="AY2" s="5"/>
      <c r="AZ2" s="5"/>
      <c r="BA2" s="5"/>
      <c r="BB2" s="2"/>
      <c r="BC2" s="6"/>
      <c r="BD2" s="6"/>
      <c r="BE2" s="6"/>
      <c r="BF2" s="6"/>
      <c r="BG2" s="6"/>
      <c r="BH2" s="7"/>
      <c r="BI2" s="7"/>
      <c r="BJ2" s="7"/>
      <c r="BK2" s="7"/>
      <c r="BL2" s="7"/>
      <c r="BM2" s="7"/>
      <c r="BN2" s="7"/>
      <c r="BO2" s="7"/>
      <c r="BP2" s="7"/>
      <c r="BQ2" s="7"/>
      <c r="BR2" s="7"/>
      <c r="BS2" s="7"/>
      <c r="BT2" s="7"/>
      <c r="BU2" s="7"/>
      <c r="BV2" s="7"/>
      <c r="BW2" s="7"/>
      <c r="BX2" s="7"/>
      <c r="BY2" s="7"/>
      <c r="BZ2" s="7"/>
      <c r="CA2" s="7"/>
    </row>
    <row r="3" ht="30.0" customHeight="1">
      <c r="A3" s="2"/>
      <c r="B3" s="16" t="s">
        <v>3</v>
      </c>
      <c r="C3" s="17" t="s">
        <v>4</v>
      </c>
      <c r="D3" s="10"/>
      <c r="E3" s="11"/>
      <c r="F3" s="12"/>
      <c r="G3" s="12"/>
      <c r="H3" s="10"/>
      <c r="I3" s="10"/>
      <c r="J3" s="10"/>
      <c r="K3" s="104"/>
      <c r="L3" s="10"/>
      <c r="M3" s="22"/>
      <c r="T3" s="23"/>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5"/>
      <c r="AX3" s="5"/>
      <c r="AY3" s="5"/>
      <c r="AZ3" s="5"/>
      <c r="BA3" s="5"/>
      <c r="BB3" s="2"/>
      <c r="BC3" s="6"/>
      <c r="BD3" s="6"/>
      <c r="BE3" s="6"/>
      <c r="BF3" s="6"/>
      <c r="BG3" s="6"/>
      <c r="BH3" s="7"/>
      <c r="BI3" s="7"/>
      <c r="BJ3" s="7"/>
      <c r="BK3" s="7"/>
      <c r="BL3" s="7"/>
      <c r="BM3" s="7"/>
      <c r="BN3" s="7"/>
      <c r="BO3" s="7"/>
      <c r="BP3" s="7"/>
      <c r="BQ3" s="7"/>
      <c r="BR3" s="7"/>
      <c r="BS3" s="7"/>
      <c r="BT3" s="7"/>
      <c r="BU3" s="7"/>
      <c r="BV3" s="7"/>
      <c r="BW3" s="7"/>
      <c r="BX3" s="7"/>
      <c r="BY3" s="7"/>
      <c r="BZ3" s="7"/>
      <c r="CA3" s="7"/>
    </row>
    <row r="4" ht="30.0" customHeight="1">
      <c r="A4" s="2"/>
      <c r="B4" s="16" t="s">
        <v>5</v>
      </c>
      <c r="C4" s="17" t="s">
        <v>6</v>
      </c>
      <c r="D4" s="10"/>
      <c r="E4" s="11"/>
      <c r="F4" s="21"/>
      <c r="G4" s="21"/>
      <c r="H4" s="10"/>
      <c r="I4" s="10"/>
      <c r="J4" s="10"/>
      <c r="K4" s="104"/>
      <c r="L4" s="10"/>
      <c r="M4" s="22"/>
      <c r="T4" s="23"/>
      <c r="U4" s="15"/>
      <c r="V4" s="15"/>
      <c r="W4" s="15"/>
      <c r="X4" s="15"/>
      <c r="Y4" s="15"/>
      <c r="Z4" s="15"/>
      <c r="AA4" s="15"/>
      <c r="AB4" s="15"/>
      <c r="AC4" s="15"/>
      <c r="AD4" s="15"/>
      <c r="AE4" s="15"/>
      <c r="AF4" s="15"/>
      <c r="AG4" s="15"/>
      <c r="AH4" s="15"/>
      <c r="AI4" s="15"/>
      <c r="AJ4" s="25"/>
      <c r="AK4" s="15"/>
      <c r="AL4" s="15"/>
      <c r="AM4" s="15"/>
      <c r="AN4" s="15"/>
      <c r="AO4" s="15"/>
      <c r="AP4" s="15"/>
      <c r="AQ4" s="15"/>
      <c r="AR4" s="15"/>
      <c r="AS4" s="15"/>
      <c r="AT4" s="15"/>
      <c r="AU4" s="15"/>
      <c r="AV4" s="15"/>
      <c r="AW4" s="5"/>
      <c r="AX4" s="5"/>
      <c r="AY4" s="5"/>
      <c r="AZ4" s="5"/>
      <c r="BA4" s="5"/>
      <c r="BB4" s="2"/>
      <c r="BC4" s="6"/>
      <c r="BD4" s="6"/>
      <c r="BE4" s="6"/>
      <c r="BF4" s="6"/>
      <c r="BG4" s="6"/>
      <c r="BH4" s="7"/>
      <c r="BI4" s="7"/>
      <c r="BJ4" s="7"/>
      <c r="BK4" s="7"/>
      <c r="BL4" s="7"/>
      <c r="BM4" s="7"/>
      <c r="BN4" s="7"/>
      <c r="BO4" s="7"/>
      <c r="BP4" s="7"/>
      <c r="BQ4" s="7"/>
      <c r="BR4" s="7"/>
      <c r="BS4" s="7"/>
      <c r="BT4" s="7"/>
      <c r="BU4" s="7"/>
      <c r="BV4" s="7"/>
      <c r="BW4" s="7"/>
      <c r="BX4" s="7"/>
      <c r="BY4" s="7"/>
      <c r="BZ4" s="7"/>
      <c r="CA4" s="7"/>
    </row>
    <row r="5" ht="30.0" customHeight="1">
      <c r="A5" s="2"/>
      <c r="B5" s="16" t="s">
        <v>7</v>
      </c>
      <c r="C5" s="17" t="s">
        <v>8</v>
      </c>
      <c r="D5" s="10"/>
      <c r="E5" s="11"/>
      <c r="F5" s="10"/>
      <c r="G5" s="10"/>
      <c r="H5" s="10"/>
      <c r="I5" s="10"/>
      <c r="J5" s="10"/>
      <c r="K5" s="104"/>
      <c r="L5" s="10"/>
      <c r="M5" s="26"/>
      <c r="N5" s="27"/>
      <c r="O5" s="27"/>
      <c r="P5" s="27"/>
      <c r="Q5" s="27"/>
      <c r="R5" s="27"/>
      <c r="S5" s="27"/>
      <c r="T5" s="28"/>
      <c r="U5" s="15"/>
      <c r="V5" s="15"/>
      <c r="W5" s="15"/>
      <c r="X5" s="15"/>
      <c r="Y5" s="15">
        <f>3.96/3.09</f>
        <v>1.281553398</v>
      </c>
      <c r="Z5" s="15"/>
      <c r="AA5" s="15"/>
      <c r="AB5" s="15"/>
      <c r="AC5" s="15"/>
      <c r="AD5" s="15"/>
      <c r="AE5" s="15"/>
      <c r="AF5" s="15"/>
      <c r="AG5" s="15"/>
      <c r="AH5" s="15"/>
      <c r="AI5" s="15"/>
      <c r="AJ5" s="15"/>
      <c r="AK5" s="15"/>
      <c r="AL5" s="15"/>
      <c r="AM5" s="15"/>
      <c r="AN5" s="15"/>
      <c r="AO5" s="15"/>
      <c r="AP5" s="15"/>
      <c r="AQ5" s="15"/>
      <c r="AR5" s="15"/>
      <c r="AS5" s="15"/>
      <c r="AT5" s="15"/>
      <c r="AU5" s="15"/>
      <c r="AV5" s="15"/>
      <c r="AW5" s="5"/>
      <c r="AX5" s="5"/>
      <c r="AY5" s="5"/>
      <c r="AZ5" s="5"/>
      <c r="BA5" s="5"/>
      <c r="BB5" s="2"/>
      <c r="BC5" s="6"/>
      <c r="BD5" s="6"/>
      <c r="BE5" s="6"/>
      <c r="BF5" s="6"/>
      <c r="BG5" s="6"/>
      <c r="BH5" s="7"/>
      <c r="BI5" s="7"/>
      <c r="BJ5" s="7"/>
      <c r="BK5" s="7"/>
      <c r="BL5" s="7"/>
      <c r="BM5" s="7"/>
      <c r="BN5" s="7"/>
      <c r="BO5" s="7"/>
      <c r="BP5" s="7"/>
      <c r="BQ5" s="7"/>
      <c r="BR5" s="7"/>
      <c r="BS5" s="7"/>
      <c r="BT5" s="7"/>
      <c r="BU5" s="7"/>
      <c r="BV5" s="7"/>
      <c r="BW5" s="7"/>
      <c r="BX5" s="7"/>
      <c r="BY5" s="7"/>
      <c r="BZ5" s="7"/>
      <c r="CA5" s="7"/>
    </row>
    <row r="6" ht="30.0" customHeight="1">
      <c r="A6" s="2"/>
      <c r="B6" s="16" t="s">
        <v>9</v>
      </c>
      <c r="C6" s="17" t="s">
        <v>10</v>
      </c>
      <c r="D6" s="10"/>
      <c r="E6" s="10"/>
      <c r="F6" s="10"/>
      <c r="G6" s="10"/>
      <c r="H6" s="10"/>
      <c r="I6" s="10"/>
      <c r="J6" s="10"/>
      <c r="K6" s="10"/>
      <c r="L6" s="10"/>
      <c r="M6" s="10"/>
      <c r="N6" s="10"/>
      <c r="O6" s="14"/>
      <c r="P6" s="14"/>
      <c r="Q6" s="10"/>
      <c r="R6" s="14"/>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5"/>
      <c r="AX6" s="5"/>
      <c r="AY6" s="5"/>
      <c r="AZ6" s="5"/>
      <c r="BA6" s="5"/>
      <c r="BB6" s="2"/>
      <c r="BC6" s="6"/>
      <c r="BD6" s="6"/>
      <c r="BE6" s="6"/>
      <c r="BF6" s="6"/>
      <c r="BG6" s="6"/>
      <c r="BH6" s="7"/>
      <c r="BI6" s="7"/>
      <c r="BJ6" s="7"/>
      <c r="BK6" s="7"/>
      <c r="BL6" s="7"/>
      <c r="BM6" s="7"/>
      <c r="BN6" s="7"/>
      <c r="BO6" s="7"/>
      <c r="BP6" s="7"/>
      <c r="BQ6" s="7"/>
      <c r="BR6" s="7"/>
      <c r="BS6" s="7"/>
      <c r="BT6" s="7"/>
      <c r="BU6" s="7"/>
      <c r="BV6" s="7"/>
      <c r="BW6" s="7"/>
      <c r="BX6" s="7"/>
      <c r="BY6" s="7"/>
      <c r="BZ6" s="7"/>
      <c r="CA6" s="7"/>
    </row>
    <row r="7" ht="30.0" customHeight="1">
      <c r="A7" s="2"/>
      <c r="B7" s="16" t="s">
        <v>11</v>
      </c>
      <c r="C7" s="17" t="s">
        <v>57</v>
      </c>
      <c r="D7" s="10"/>
      <c r="E7" s="10"/>
      <c r="F7" s="10"/>
      <c r="G7" s="10"/>
      <c r="H7" s="10"/>
      <c r="I7" s="10"/>
      <c r="J7" s="10"/>
      <c r="K7" s="10"/>
      <c r="L7" s="10"/>
      <c r="M7" s="10"/>
      <c r="N7" s="10"/>
      <c r="O7" s="14"/>
      <c r="P7" s="14"/>
      <c r="Q7" s="10"/>
      <c r="R7" s="14"/>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5"/>
      <c r="AX7" s="5"/>
      <c r="AY7" s="5"/>
      <c r="AZ7" s="5"/>
      <c r="BA7" s="5"/>
      <c r="BB7" s="2"/>
      <c r="BC7" s="6"/>
      <c r="BD7" s="6"/>
      <c r="BE7" s="6"/>
      <c r="BF7" s="6"/>
      <c r="BG7" s="6"/>
      <c r="BH7" s="7"/>
      <c r="BI7" s="7"/>
      <c r="BJ7" s="7"/>
      <c r="BK7" s="7"/>
      <c r="BL7" s="7"/>
      <c r="BM7" s="7"/>
      <c r="BN7" s="7"/>
      <c r="BO7" s="7"/>
      <c r="BP7" s="7"/>
      <c r="BQ7" s="7"/>
      <c r="BR7" s="7"/>
      <c r="BS7" s="7"/>
      <c r="BT7" s="7"/>
      <c r="BU7" s="7"/>
      <c r="BV7" s="7"/>
      <c r="BW7" s="7"/>
      <c r="BX7" s="7"/>
      <c r="BY7" s="7"/>
      <c r="BZ7" s="7"/>
      <c r="CA7" s="7"/>
    </row>
    <row r="8" ht="15.75" customHeight="1">
      <c r="A8" s="2"/>
      <c r="B8" s="15"/>
      <c r="C8" s="15"/>
      <c r="D8" s="15"/>
      <c r="E8" s="15"/>
      <c r="F8" s="15"/>
      <c r="G8" s="15"/>
      <c r="H8" s="15"/>
      <c r="I8" s="14"/>
      <c r="J8" s="14"/>
      <c r="K8" s="14"/>
      <c r="L8" s="14"/>
      <c r="M8" s="14"/>
      <c r="N8" s="14"/>
      <c r="O8" s="14"/>
      <c r="P8" s="14"/>
      <c r="Q8" s="10"/>
      <c r="R8" s="14"/>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5"/>
      <c r="AX8" s="5"/>
      <c r="AY8" s="5"/>
      <c r="AZ8" s="5"/>
      <c r="BA8" s="5"/>
      <c r="BB8" s="2"/>
      <c r="BC8" s="6"/>
      <c r="BD8" s="6"/>
      <c r="BE8" s="6"/>
      <c r="BF8" s="6"/>
      <c r="BG8" s="6"/>
      <c r="BH8" s="7"/>
      <c r="BI8" s="7"/>
      <c r="BJ8" s="7"/>
      <c r="BK8" s="7"/>
      <c r="BL8" s="7"/>
      <c r="BM8" s="7"/>
      <c r="BN8" s="7"/>
      <c r="BO8" s="7"/>
      <c r="BP8" s="7"/>
      <c r="BQ8" s="7"/>
      <c r="BR8" s="7"/>
      <c r="BS8" s="7"/>
      <c r="BT8" s="7"/>
      <c r="BU8" s="7"/>
      <c r="BV8" s="7"/>
      <c r="BW8" s="7"/>
      <c r="BX8" s="7"/>
      <c r="BY8" s="7"/>
      <c r="BZ8" s="7"/>
      <c r="CA8" s="7"/>
    </row>
    <row r="9" ht="21.0" customHeight="1">
      <c r="A9" s="2"/>
      <c r="B9" s="9"/>
      <c r="C9" s="9"/>
      <c r="D9" s="9"/>
      <c r="E9" s="9"/>
      <c r="F9" s="9"/>
      <c r="G9" s="9"/>
      <c r="H9" s="9"/>
      <c r="I9" s="13"/>
      <c r="J9" s="13"/>
      <c r="K9" s="13"/>
      <c r="L9" s="13"/>
      <c r="M9" s="14"/>
      <c r="N9" s="14"/>
      <c r="O9" s="14"/>
      <c r="P9" s="14"/>
      <c r="Q9" s="10"/>
      <c r="R9" s="14"/>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5"/>
      <c r="AX9" s="5"/>
      <c r="AY9" s="5"/>
      <c r="AZ9" s="5"/>
      <c r="BA9" s="5"/>
      <c r="BB9" s="31"/>
      <c r="BC9" s="32"/>
      <c r="BD9" s="32"/>
      <c r="BE9" s="32"/>
      <c r="BF9" s="32"/>
      <c r="BG9" s="32"/>
      <c r="BH9" s="6"/>
      <c r="BI9" s="6"/>
      <c r="BJ9" s="6"/>
      <c r="BK9" s="6"/>
      <c r="BL9" s="6"/>
      <c r="BM9" s="6"/>
      <c r="BN9" s="6"/>
      <c r="BO9" s="6"/>
      <c r="BP9" s="6"/>
      <c r="BQ9" s="6"/>
      <c r="BR9" s="6"/>
      <c r="BS9" s="6"/>
      <c r="BT9" s="6"/>
      <c r="BU9" s="6"/>
      <c r="BV9" s="6"/>
      <c r="BW9" s="6"/>
      <c r="BX9" s="6"/>
      <c r="BY9" s="6"/>
      <c r="BZ9" s="6"/>
      <c r="CA9" s="6"/>
    </row>
    <row r="10" ht="46.5" customHeight="1">
      <c r="A10" s="2"/>
      <c r="B10" s="33" t="s">
        <v>13</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82"/>
      <c r="AU10" s="82"/>
      <c r="AV10" s="82"/>
      <c r="AW10" s="5"/>
      <c r="AX10" s="5"/>
      <c r="AY10" s="5"/>
      <c r="AZ10" s="5"/>
      <c r="BA10" s="5"/>
      <c r="BB10" s="31"/>
      <c r="BC10" s="32"/>
      <c r="BD10" s="32"/>
      <c r="BE10" s="32"/>
      <c r="BF10" s="32"/>
      <c r="BG10" s="32"/>
      <c r="BH10" s="7"/>
      <c r="BI10" s="7"/>
      <c r="BJ10" s="7"/>
      <c r="BK10" s="7"/>
      <c r="BL10" s="7"/>
      <c r="BM10" s="7"/>
      <c r="BN10" s="7"/>
      <c r="BO10" s="7"/>
      <c r="BP10" s="7"/>
      <c r="BQ10" s="7"/>
      <c r="BR10" s="7"/>
      <c r="BS10" s="7"/>
      <c r="BT10" s="7"/>
      <c r="BU10" s="7"/>
      <c r="BV10" s="7"/>
      <c r="BW10" s="7"/>
      <c r="BX10" s="7"/>
      <c r="BY10" s="7"/>
      <c r="BZ10" s="7"/>
      <c r="CA10" s="7"/>
    </row>
    <row r="11" ht="30.0" customHeight="1">
      <c r="A11" s="2"/>
      <c r="B11" s="38" t="s">
        <v>14</v>
      </c>
      <c r="C11" s="39" t="s">
        <v>15</v>
      </c>
      <c r="D11" s="40" t="s">
        <v>16</v>
      </c>
      <c r="E11" s="40" t="s">
        <v>17</v>
      </c>
      <c r="F11" s="40" t="s">
        <v>58</v>
      </c>
      <c r="G11" s="40" t="s">
        <v>20</v>
      </c>
      <c r="H11" s="40" t="s">
        <v>58</v>
      </c>
      <c r="I11" s="40" t="s">
        <v>16</v>
      </c>
      <c r="J11" s="40" t="s">
        <v>17</v>
      </c>
      <c r="K11" s="40" t="s">
        <v>19</v>
      </c>
      <c r="L11" s="40" t="s">
        <v>20</v>
      </c>
      <c r="M11" s="40" t="s">
        <v>21</v>
      </c>
      <c r="N11" s="40" t="s">
        <v>22</v>
      </c>
      <c r="O11" s="40" t="s">
        <v>19</v>
      </c>
      <c r="P11" s="40" t="s">
        <v>24</v>
      </c>
      <c r="Q11" s="41" t="s">
        <v>27</v>
      </c>
      <c r="R11" s="40" t="s">
        <v>19</v>
      </c>
      <c r="S11" s="41" t="s">
        <v>59</v>
      </c>
      <c r="T11" s="41" t="s">
        <v>30</v>
      </c>
      <c r="U11" s="40" t="s">
        <v>19</v>
      </c>
      <c r="V11" s="41" t="s">
        <v>31</v>
      </c>
      <c r="W11" s="41" t="s">
        <v>32</v>
      </c>
      <c r="X11" s="40" t="s">
        <v>19</v>
      </c>
      <c r="Y11" s="41" t="s">
        <v>33</v>
      </c>
      <c r="Z11" s="41" t="s">
        <v>34</v>
      </c>
      <c r="AA11" s="40" t="s">
        <v>19</v>
      </c>
      <c r="AB11" s="41" t="s">
        <v>35</v>
      </c>
      <c r="AC11" s="42" t="s">
        <v>36</v>
      </c>
      <c r="AD11" s="40" t="s">
        <v>19</v>
      </c>
      <c r="AE11" s="42" t="s">
        <v>37</v>
      </c>
      <c r="AF11" s="41" t="s">
        <v>60</v>
      </c>
      <c r="AG11" s="42" t="s">
        <v>38</v>
      </c>
      <c r="AH11" s="40" t="s">
        <v>19</v>
      </c>
      <c r="AI11" s="42" t="s">
        <v>39</v>
      </c>
      <c r="AJ11" s="41" t="s">
        <v>61</v>
      </c>
      <c r="AK11" s="42" t="s">
        <v>40</v>
      </c>
      <c r="AL11" s="40" t="s">
        <v>19</v>
      </c>
      <c r="AM11" s="42" t="s">
        <v>41</v>
      </c>
      <c r="AN11" s="42" t="s">
        <v>42</v>
      </c>
      <c r="AO11" s="40" t="s">
        <v>19</v>
      </c>
      <c r="AP11" s="42" t="s">
        <v>43</v>
      </c>
      <c r="AQ11" s="42" t="s">
        <v>44</v>
      </c>
      <c r="AR11" s="40" t="s">
        <v>19</v>
      </c>
      <c r="AS11" s="42" t="s">
        <v>45</v>
      </c>
      <c r="AT11" s="42" t="s">
        <v>46</v>
      </c>
      <c r="AU11" s="40" t="s">
        <v>19</v>
      </c>
      <c r="AV11" s="42" t="s">
        <v>47</v>
      </c>
      <c r="AW11" s="5"/>
      <c r="AX11" s="5"/>
      <c r="AY11" s="5"/>
      <c r="AZ11" s="5"/>
      <c r="BA11" s="5"/>
      <c r="BB11" s="9"/>
      <c r="BC11" s="46"/>
      <c r="BD11" s="46"/>
      <c r="BE11" s="46"/>
      <c r="BF11" s="46"/>
      <c r="BG11" s="46"/>
      <c r="BH11" s="47"/>
      <c r="BI11" s="48"/>
      <c r="BJ11" s="48"/>
      <c r="BO11" s="7"/>
      <c r="BP11" s="7"/>
      <c r="BQ11" s="7"/>
      <c r="BR11" s="7"/>
      <c r="BS11" s="7"/>
      <c r="BT11" s="7"/>
      <c r="BU11" s="7"/>
      <c r="BV11" s="7"/>
      <c r="BW11" s="7"/>
      <c r="BX11" s="7"/>
      <c r="BY11" s="7"/>
      <c r="BZ11" s="7"/>
      <c r="CA11" s="7"/>
    </row>
    <row r="12" ht="30.0" customHeight="1">
      <c r="A12" s="2"/>
      <c r="C12" s="28"/>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5"/>
      <c r="AX12" s="5"/>
      <c r="AY12" s="5"/>
      <c r="AZ12" s="5"/>
      <c r="BA12" s="5"/>
      <c r="BB12" s="50"/>
      <c r="BC12" s="51"/>
      <c r="BD12" s="51"/>
      <c r="BE12" s="51"/>
      <c r="BF12" s="51"/>
      <c r="BG12" s="51"/>
      <c r="BH12" s="52">
        <v>18.0</v>
      </c>
      <c r="BI12" s="52">
        <v>25.0</v>
      </c>
      <c r="BJ12" s="52">
        <v>2.0</v>
      </c>
      <c r="BK12" s="52">
        <v>9.0</v>
      </c>
      <c r="BL12" s="52">
        <v>16.0</v>
      </c>
      <c r="BM12" s="52">
        <v>23.0</v>
      </c>
      <c r="BN12" s="52">
        <v>30.0</v>
      </c>
      <c r="BO12" s="7"/>
      <c r="BP12" s="7"/>
      <c r="BQ12" s="7"/>
      <c r="BR12" s="7"/>
      <c r="BS12" s="7"/>
      <c r="BT12" s="7"/>
      <c r="BU12" s="7"/>
      <c r="BV12" s="7"/>
      <c r="BW12" s="7"/>
      <c r="BX12" s="7"/>
      <c r="BY12" s="7"/>
      <c r="BZ12" s="7"/>
      <c r="CA12" s="7"/>
    </row>
    <row r="13" ht="51.75" customHeight="1">
      <c r="A13" s="2"/>
      <c r="B13" s="53" t="s">
        <v>62</v>
      </c>
      <c r="C13" s="54" t="s">
        <v>15</v>
      </c>
      <c r="D13" s="95"/>
      <c r="E13" s="95"/>
      <c r="F13" s="105"/>
      <c r="G13" s="105"/>
      <c r="H13" s="106"/>
      <c r="I13" s="55">
        <v>1843648.0</v>
      </c>
      <c r="J13" s="55">
        <v>94920.0</v>
      </c>
      <c r="K13" s="56">
        <v>0.0515</v>
      </c>
      <c r="L13" s="57">
        <v>1.25</v>
      </c>
      <c r="M13" s="55">
        <v>113086.0</v>
      </c>
      <c r="O13" s="56">
        <v>0.06133817301350366</v>
      </c>
      <c r="P13" s="57">
        <v>5.16</v>
      </c>
      <c r="Q13" s="55">
        <v>113086.0</v>
      </c>
      <c r="R13" s="56">
        <v>0.06133817301350366</v>
      </c>
      <c r="S13" s="57">
        <v>5.16</v>
      </c>
      <c r="T13" s="55">
        <v>94053.0</v>
      </c>
      <c r="U13" s="56">
        <v>0.051</v>
      </c>
      <c r="V13" s="57">
        <v>1.6</v>
      </c>
      <c r="W13" s="64">
        <v>86591.0</v>
      </c>
      <c r="X13" s="107">
        <v>0.047</v>
      </c>
      <c r="Y13" s="58">
        <v>1.54</v>
      </c>
      <c r="Z13" s="64">
        <v>268589.0</v>
      </c>
      <c r="AA13" s="107">
        <v>0.1457</v>
      </c>
      <c r="AB13" s="58">
        <v>1.4</v>
      </c>
      <c r="AC13" s="64">
        <v>135887.0</v>
      </c>
      <c r="AD13" s="107">
        <v>0.1579</v>
      </c>
      <c r="AE13" s="58">
        <v>1.62</v>
      </c>
      <c r="AF13" s="64">
        <v>1843648.0</v>
      </c>
      <c r="AG13" s="64">
        <v>98419.0</v>
      </c>
      <c r="AH13" s="56">
        <f>AG13/AF13</f>
        <v>0.05338274985</v>
      </c>
      <c r="AI13" s="57">
        <f>173126/AG13</f>
        <v>1.759070911</v>
      </c>
      <c r="AJ13" s="64">
        <v>1843648.0</v>
      </c>
      <c r="AK13" s="64">
        <v>105820.0</v>
      </c>
      <c r="AL13" s="107">
        <v>0.0574</v>
      </c>
      <c r="AM13" s="58">
        <v>1.95</v>
      </c>
      <c r="AN13" s="64">
        <v>87413.0</v>
      </c>
      <c r="AO13" s="107">
        <v>0.0474</v>
      </c>
      <c r="AP13" s="58">
        <v>2.36</v>
      </c>
      <c r="AQ13" s="64">
        <v>96640.0</v>
      </c>
      <c r="AR13" s="107">
        <v>0.0524</v>
      </c>
      <c r="AS13" s="58">
        <v>1.73</v>
      </c>
      <c r="AT13" s="64">
        <v>104924.0</v>
      </c>
      <c r="AU13" s="107">
        <v>0.0569</v>
      </c>
      <c r="AV13" s="58">
        <v>1.59</v>
      </c>
      <c r="AW13" s="5"/>
      <c r="AX13" s="5"/>
      <c r="AY13" s="5"/>
      <c r="AZ13" s="5"/>
      <c r="BA13" s="5"/>
      <c r="BB13" s="60"/>
      <c r="BC13" s="61"/>
      <c r="BD13" s="61"/>
      <c r="BE13" s="61"/>
      <c r="BF13" s="61"/>
      <c r="BG13" s="61"/>
      <c r="BH13" s="62"/>
      <c r="BI13" s="62"/>
      <c r="BJ13" s="62"/>
      <c r="BK13" s="62"/>
      <c r="BL13" s="62"/>
      <c r="BM13" s="62"/>
      <c r="BN13" s="62"/>
      <c r="BO13" s="62"/>
      <c r="BP13" s="62"/>
      <c r="BQ13" s="62"/>
      <c r="BR13" s="62"/>
      <c r="BS13" s="62"/>
      <c r="BT13" s="62"/>
      <c r="BU13" s="62"/>
      <c r="BV13" s="62"/>
      <c r="BW13" s="62"/>
      <c r="BX13" s="62"/>
      <c r="BY13" s="62"/>
      <c r="BZ13" s="62"/>
      <c r="CA13" s="62"/>
    </row>
    <row r="14" ht="51.75" customHeight="1">
      <c r="A14" s="2"/>
      <c r="B14" s="108"/>
      <c r="C14" s="54" t="s">
        <v>63</v>
      </c>
      <c r="D14" s="95"/>
      <c r="E14" s="95"/>
      <c r="F14" s="105"/>
      <c r="G14" s="105"/>
      <c r="H14" s="106"/>
      <c r="I14" s="55">
        <v>1.1165691E7</v>
      </c>
      <c r="J14" s="55">
        <v>110838.0</v>
      </c>
      <c r="K14" s="56">
        <v>0.0099</v>
      </c>
      <c r="L14" s="57">
        <v>1.73</v>
      </c>
      <c r="M14" s="55">
        <v>1.1165691E7</v>
      </c>
      <c r="N14" s="55">
        <v>75672.0</v>
      </c>
      <c r="O14" s="56">
        <v>0.006777189159184147</v>
      </c>
      <c r="P14" s="57">
        <v>1.7</v>
      </c>
      <c r="Q14" s="55">
        <v>75672.0</v>
      </c>
      <c r="R14" s="56">
        <v>0.006777189159184147</v>
      </c>
      <c r="S14" s="57">
        <v>1.7</v>
      </c>
      <c r="T14" s="55">
        <v>81397.0</v>
      </c>
      <c r="U14" s="56">
        <v>0.0073</v>
      </c>
      <c r="V14" s="57">
        <v>1.57</v>
      </c>
      <c r="W14" s="64">
        <v>75048.0</v>
      </c>
      <c r="X14" s="107">
        <v>0.0067</v>
      </c>
      <c r="Y14" s="58">
        <v>1.53</v>
      </c>
      <c r="Z14" s="109"/>
      <c r="AA14" s="48"/>
      <c r="AB14" s="66"/>
      <c r="AC14" s="110"/>
      <c r="AD14" s="110"/>
      <c r="AE14" s="110"/>
      <c r="AF14" s="110"/>
      <c r="AG14" s="110"/>
      <c r="AH14" s="110"/>
      <c r="AI14" s="110"/>
      <c r="AJ14" s="110"/>
      <c r="AK14" s="110"/>
      <c r="AL14" s="110"/>
      <c r="AM14" s="110"/>
      <c r="AN14" s="110"/>
      <c r="AO14" s="110"/>
      <c r="AP14" s="110"/>
      <c r="AQ14" s="110"/>
      <c r="AR14" s="110"/>
      <c r="AS14" s="110"/>
      <c r="AT14" s="110"/>
      <c r="AU14" s="110"/>
      <c r="AV14" s="110"/>
      <c r="AW14" s="5"/>
      <c r="AX14" s="5"/>
      <c r="AY14" s="5"/>
      <c r="AZ14" s="5"/>
      <c r="BA14" s="5"/>
      <c r="BB14" s="60"/>
      <c r="BC14" s="61"/>
      <c r="BD14" s="61"/>
      <c r="BE14" s="61"/>
      <c r="BF14" s="61"/>
      <c r="BG14" s="61"/>
      <c r="BH14" s="62"/>
      <c r="BI14" s="62"/>
      <c r="BJ14" s="62"/>
      <c r="BK14" s="62"/>
      <c r="BL14" s="62"/>
      <c r="BM14" s="62"/>
      <c r="BN14" s="62"/>
      <c r="BO14" s="62"/>
      <c r="BP14" s="62"/>
      <c r="BQ14" s="62"/>
      <c r="BR14" s="62"/>
      <c r="BS14" s="62"/>
      <c r="BT14" s="62"/>
      <c r="BU14" s="62"/>
      <c r="BV14" s="62"/>
      <c r="BW14" s="62"/>
      <c r="BX14" s="62"/>
      <c r="BY14" s="62"/>
      <c r="BZ14" s="62"/>
      <c r="CA14" s="62"/>
    </row>
    <row r="15" ht="51.75" customHeight="1">
      <c r="A15" s="2"/>
      <c r="B15" s="63"/>
      <c r="C15" s="54" t="s">
        <v>49</v>
      </c>
      <c r="D15" s="95"/>
      <c r="E15" s="106"/>
      <c r="F15" s="111"/>
      <c r="G15" s="111"/>
      <c r="H15" s="106"/>
      <c r="I15" s="55">
        <v>986072.0</v>
      </c>
      <c r="J15" s="55">
        <f>J25+J35+J45+J55</f>
        <v>133267.3973</v>
      </c>
      <c r="K15" s="56">
        <f>J15/$I$15</f>
        <v>0.1351497632</v>
      </c>
      <c r="L15" s="57">
        <v>2.55</v>
      </c>
      <c r="M15" s="55">
        <v>986072.0</v>
      </c>
      <c r="N15" s="55">
        <f>N25+N35+N45+N55</f>
        <v>90255.43232</v>
      </c>
      <c r="O15" s="56">
        <f>N15/$I$15</f>
        <v>0.09153026586</v>
      </c>
      <c r="P15" s="57">
        <v>2.54</v>
      </c>
      <c r="Q15" s="55">
        <f>Q25+Q35+Q45+Q55</f>
        <v>64159</v>
      </c>
      <c r="R15" s="56">
        <f>Q15/$I$15</f>
        <v>0.0650652285</v>
      </c>
      <c r="S15" s="57">
        <v>2.54</v>
      </c>
      <c r="T15" s="55">
        <f>T25+T35+T45+T55</f>
        <v>69059</v>
      </c>
      <c r="U15" s="56">
        <f>T15/$I$15</f>
        <v>0.07003443968</v>
      </c>
      <c r="V15" s="57">
        <v>2.67</v>
      </c>
      <c r="W15" s="55">
        <f>W25+W35+W45+W55</f>
        <v>58432</v>
      </c>
      <c r="X15" s="56">
        <f>W15/$I$15</f>
        <v>0.05925733618</v>
      </c>
      <c r="Y15" s="58">
        <v>2.82</v>
      </c>
      <c r="Z15" s="64">
        <v>194652.0</v>
      </c>
      <c r="AA15" s="107">
        <v>0.1974</v>
      </c>
      <c r="AB15" s="58">
        <v>2.53</v>
      </c>
      <c r="AC15" s="64">
        <v>133096.0</v>
      </c>
      <c r="AD15" s="107">
        <v>0.135</v>
      </c>
      <c r="AE15" s="58">
        <v>2.1</v>
      </c>
      <c r="AF15" s="64">
        <v>986072.0</v>
      </c>
      <c r="AG15" s="64">
        <v>90410.0</v>
      </c>
      <c r="AH15" s="56">
        <f>AG15/AF15</f>
        <v>0.09168701677</v>
      </c>
      <c r="AI15" s="57">
        <f>223512/AG15</f>
        <v>2.472204402</v>
      </c>
      <c r="AJ15" s="64">
        <v>986072.0</v>
      </c>
      <c r="AK15" s="64">
        <v>85483.0</v>
      </c>
      <c r="AL15" s="107">
        <v>0.0867</v>
      </c>
      <c r="AM15" s="58">
        <v>2.69</v>
      </c>
      <c r="AN15" s="64">
        <v>61379.0</v>
      </c>
      <c r="AO15" s="107">
        <v>0.0622</v>
      </c>
      <c r="AP15" s="58">
        <v>3.75</v>
      </c>
      <c r="AQ15" s="64">
        <v>75847.0</v>
      </c>
      <c r="AR15" s="107">
        <v>0.0769</v>
      </c>
      <c r="AS15" s="58">
        <v>2.65</v>
      </c>
      <c r="AT15" s="64">
        <v>102549.0</v>
      </c>
      <c r="AU15" s="107">
        <v>0.104</v>
      </c>
      <c r="AV15" s="58">
        <v>1.96</v>
      </c>
      <c r="AW15" s="5"/>
      <c r="AX15" s="5"/>
      <c r="AY15" s="5"/>
      <c r="AZ15" s="5"/>
      <c r="BA15" s="5"/>
      <c r="BB15" s="60"/>
      <c r="BC15" s="61"/>
      <c r="BD15" s="61"/>
      <c r="BE15" s="61"/>
      <c r="BF15" s="61"/>
      <c r="BG15" s="61"/>
      <c r="BH15" s="7"/>
      <c r="BI15" s="7"/>
      <c r="BJ15" s="7"/>
      <c r="BK15" s="7"/>
      <c r="BL15" s="7"/>
      <c r="BM15" s="7"/>
      <c r="BN15" s="7"/>
      <c r="BO15" s="7"/>
      <c r="BP15" s="7"/>
      <c r="BQ15" s="7"/>
      <c r="BR15" s="7"/>
      <c r="BS15" s="7"/>
      <c r="BT15" s="7"/>
      <c r="BU15" s="7"/>
      <c r="BV15" s="7"/>
      <c r="BW15" s="7"/>
      <c r="BX15" s="7"/>
      <c r="BY15" s="7"/>
      <c r="BZ15" s="7"/>
      <c r="CA15" s="7"/>
    </row>
    <row r="16" ht="26.25" customHeight="1">
      <c r="A16" s="2"/>
      <c r="B16" s="65"/>
      <c r="C16" s="48"/>
      <c r="D16" s="48"/>
      <c r="E16" s="66"/>
      <c r="F16" s="67"/>
      <c r="G16" s="67"/>
      <c r="H16" s="65"/>
      <c r="I16" s="68"/>
      <c r="J16" s="68"/>
      <c r="K16" s="68"/>
      <c r="L16" s="68"/>
      <c r="M16" s="68"/>
      <c r="N16" s="68"/>
      <c r="O16" s="68"/>
      <c r="P16" s="68"/>
      <c r="Q16" s="68"/>
      <c r="R16" s="68"/>
      <c r="S16" s="68"/>
      <c r="T16" s="68"/>
      <c r="U16" s="68"/>
      <c r="V16" s="68"/>
      <c r="W16" s="68"/>
      <c r="X16" s="68"/>
      <c r="Y16" s="68"/>
      <c r="Z16" s="68"/>
      <c r="AA16" s="68"/>
      <c r="AB16" s="68"/>
      <c r="AC16" s="70"/>
      <c r="AD16" s="70"/>
      <c r="AE16" s="70"/>
      <c r="AF16" s="70"/>
      <c r="AG16" s="70"/>
      <c r="AH16" s="70"/>
      <c r="AI16" s="70"/>
      <c r="AJ16" s="70"/>
      <c r="AK16" s="70"/>
      <c r="AL16" s="70"/>
      <c r="AM16" s="70"/>
      <c r="AN16" s="70"/>
      <c r="AO16" s="70"/>
      <c r="AP16" s="70"/>
      <c r="AQ16" s="70"/>
      <c r="AR16" s="70"/>
      <c r="AS16" s="70"/>
      <c r="AT16" s="70"/>
      <c r="AU16" s="70"/>
      <c r="AV16" s="70"/>
      <c r="AW16" s="5"/>
      <c r="AX16" s="5"/>
      <c r="AY16" s="5"/>
      <c r="AZ16" s="5"/>
      <c r="BA16" s="5"/>
      <c r="BB16" s="2"/>
      <c r="BC16" s="6"/>
      <c r="BD16" s="6"/>
      <c r="BE16" s="6"/>
      <c r="BF16" s="6"/>
      <c r="BG16" s="6"/>
      <c r="BH16" s="7"/>
      <c r="BI16" s="7"/>
      <c r="BJ16" s="7"/>
      <c r="BK16" s="7"/>
      <c r="BL16" s="7"/>
      <c r="BM16" s="7"/>
      <c r="BN16" s="7"/>
      <c r="BO16" s="7"/>
      <c r="BP16" s="7"/>
      <c r="BQ16" s="7"/>
      <c r="BR16" s="7"/>
      <c r="BS16" s="7"/>
      <c r="BT16" s="7"/>
      <c r="BU16" s="7"/>
      <c r="BV16" s="7"/>
      <c r="BW16" s="7"/>
      <c r="BX16" s="7"/>
      <c r="BY16" s="7"/>
      <c r="BZ16" s="7"/>
      <c r="CA16" s="7"/>
    </row>
    <row r="17" ht="33.75" customHeight="1">
      <c r="A17" s="72"/>
      <c r="B17" s="112" t="s">
        <v>64</v>
      </c>
      <c r="C17" s="74"/>
      <c r="D17" s="75"/>
      <c r="E17" s="113" t="str">
        <f>((sum(E13:E15)-E18)/E18)</f>
        <v>#DIV/0!</v>
      </c>
      <c r="F17" s="75"/>
      <c r="G17" s="75"/>
      <c r="H17" s="75"/>
      <c r="I17" s="114"/>
      <c r="J17" s="113"/>
      <c r="K17" s="114"/>
      <c r="L17" s="114"/>
      <c r="M17" s="114"/>
      <c r="N17" s="113">
        <f>((sum(N13:N15)-N18)/N18)</f>
        <v>-0.195144344</v>
      </c>
      <c r="O17" s="114"/>
      <c r="P17" s="114"/>
      <c r="Q17" s="114"/>
      <c r="R17" s="114"/>
      <c r="S17" s="114"/>
      <c r="T17" s="114"/>
      <c r="U17" s="114"/>
      <c r="V17" s="114"/>
      <c r="W17" s="114"/>
      <c r="X17" s="114"/>
      <c r="Y17" s="114"/>
      <c r="Z17" s="114"/>
      <c r="AA17" s="114"/>
      <c r="AB17" s="114"/>
      <c r="AC17" s="82"/>
      <c r="AD17" s="82"/>
      <c r="AE17" s="82"/>
      <c r="AF17" s="82"/>
      <c r="AG17" s="82"/>
      <c r="AH17" s="82"/>
      <c r="AI17" s="82"/>
      <c r="AJ17" s="82"/>
      <c r="AK17" s="82"/>
      <c r="AL17" s="82"/>
      <c r="AM17" s="82"/>
      <c r="AN17" s="82"/>
      <c r="AO17" s="82"/>
      <c r="AP17" s="82"/>
      <c r="AQ17" s="82"/>
      <c r="AR17" s="82"/>
      <c r="AS17" s="82"/>
      <c r="AT17" s="82"/>
      <c r="AU17" s="82"/>
      <c r="AV17" s="82"/>
      <c r="AW17" s="5"/>
      <c r="AX17" s="5"/>
      <c r="AY17" s="5"/>
      <c r="AZ17" s="5"/>
      <c r="BA17" s="5"/>
      <c r="BB17" s="5"/>
      <c r="BC17" s="72"/>
      <c r="BD17" s="83"/>
      <c r="BE17" s="83"/>
      <c r="BF17" s="83"/>
      <c r="BG17" s="83"/>
      <c r="BH17" s="83"/>
      <c r="BI17" s="84"/>
      <c r="BJ17" s="84"/>
      <c r="BK17" s="84"/>
      <c r="BL17" s="84"/>
      <c r="BM17" s="84"/>
      <c r="BN17" s="84"/>
      <c r="BO17" s="84"/>
      <c r="BP17" s="84"/>
      <c r="BQ17" s="84"/>
      <c r="BR17" s="84"/>
      <c r="BS17" s="84"/>
      <c r="BT17" s="84"/>
      <c r="BU17" s="84"/>
      <c r="BV17" s="84"/>
      <c r="BW17" s="84"/>
      <c r="BX17" s="84"/>
      <c r="BY17" s="84"/>
      <c r="BZ17" s="84"/>
      <c r="CA17" s="84"/>
    </row>
    <row r="18" ht="33.75" customHeight="1">
      <c r="A18" s="72"/>
      <c r="B18" s="73" t="s">
        <v>51</v>
      </c>
      <c r="C18" s="74"/>
      <c r="D18" s="75"/>
      <c r="E18" s="75"/>
      <c r="F18" s="75"/>
      <c r="G18" s="75"/>
      <c r="H18" s="75"/>
      <c r="I18" s="75"/>
      <c r="J18" s="115">
        <f>sum(J28,J38,J48,J58)</f>
        <v>0</v>
      </c>
      <c r="K18" s="75"/>
      <c r="L18" s="81"/>
      <c r="M18" s="81"/>
      <c r="N18" s="116">
        <f>sum(N28,N38,N48,N58)</f>
        <v>206158</v>
      </c>
      <c r="O18" s="81"/>
      <c r="P18" s="81"/>
      <c r="Q18" s="75"/>
      <c r="R18" s="81"/>
      <c r="S18" s="75"/>
      <c r="T18" s="81"/>
      <c r="U18" s="81"/>
      <c r="V18" s="81"/>
      <c r="W18" s="81"/>
      <c r="X18" s="75"/>
      <c r="Y18" s="81"/>
      <c r="Z18" s="81"/>
      <c r="AA18" s="81"/>
      <c r="AB18" s="81"/>
      <c r="AC18" s="82"/>
      <c r="AD18" s="82"/>
      <c r="AE18" s="82"/>
      <c r="AF18" s="82"/>
      <c r="AG18" s="82"/>
      <c r="AH18" s="82"/>
      <c r="AI18" s="82"/>
      <c r="AJ18" s="82"/>
      <c r="AK18" s="82"/>
      <c r="AL18" s="82"/>
      <c r="AM18" s="82"/>
      <c r="AN18" s="82"/>
      <c r="AO18" s="82"/>
      <c r="AP18" s="82"/>
      <c r="AQ18" s="82"/>
      <c r="AR18" s="82"/>
      <c r="AS18" s="82"/>
      <c r="AT18" s="82"/>
      <c r="AU18" s="82"/>
      <c r="AV18" s="82"/>
      <c r="AW18" s="5"/>
      <c r="AX18" s="5"/>
      <c r="AY18" s="5"/>
      <c r="AZ18" s="5"/>
      <c r="BA18" s="5"/>
      <c r="BB18" s="72"/>
      <c r="BC18" s="83"/>
      <c r="BD18" s="83"/>
      <c r="BE18" s="83"/>
      <c r="BF18" s="83"/>
      <c r="BG18" s="83"/>
      <c r="BH18" s="84"/>
      <c r="BI18" s="84"/>
      <c r="BJ18" s="84"/>
      <c r="BK18" s="84"/>
      <c r="BL18" s="84"/>
      <c r="BM18" s="84"/>
      <c r="BN18" s="84"/>
      <c r="BO18" s="84"/>
      <c r="BP18" s="84"/>
      <c r="BQ18" s="84"/>
      <c r="BR18" s="84"/>
      <c r="BS18" s="84"/>
      <c r="BT18" s="84"/>
      <c r="BU18" s="84"/>
      <c r="BV18" s="84"/>
      <c r="BW18" s="84"/>
      <c r="BX18" s="84"/>
      <c r="BY18" s="84"/>
      <c r="BZ18" s="84"/>
      <c r="CA18" s="84"/>
    </row>
    <row r="19" ht="37.5" customHeight="1">
      <c r="A19" s="85"/>
      <c r="B19" s="86"/>
      <c r="C19" s="87"/>
      <c r="D19" s="87"/>
      <c r="E19" s="87"/>
      <c r="F19" s="87"/>
      <c r="G19" s="87"/>
      <c r="H19" s="117"/>
      <c r="I19" s="88"/>
      <c r="J19" s="88"/>
      <c r="K19" s="87"/>
      <c r="L19" s="87"/>
      <c r="M19" s="14"/>
      <c r="N19" s="14"/>
      <c r="O19" s="14"/>
      <c r="P19" s="14"/>
      <c r="Q19" s="10"/>
      <c r="R19" s="14"/>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5"/>
      <c r="AX19" s="5"/>
      <c r="AY19" s="5"/>
      <c r="AZ19" s="5"/>
      <c r="BA19" s="5"/>
      <c r="BB19" s="92"/>
      <c r="BC19" s="93"/>
      <c r="BD19" s="93"/>
      <c r="BE19" s="93"/>
      <c r="BF19" s="93"/>
      <c r="BG19" s="93"/>
      <c r="BH19" s="94"/>
      <c r="BI19" s="94"/>
      <c r="BJ19" s="94"/>
      <c r="BK19" s="94"/>
      <c r="BL19" s="94"/>
      <c r="BM19" s="94"/>
      <c r="BN19" s="94"/>
      <c r="BO19" s="94"/>
      <c r="BP19" s="94"/>
      <c r="BQ19" s="94"/>
      <c r="BR19" s="94"/>
      <c r="BS19" s="94"/>
      <c r="BT19" s="94"/>
      <c r="BU19" s="94"/>
      <c r="BV19" s="94"/>
      <c r="BW19" s="94"/>
      <c r="BX19" s="94"/>
      <c r="BY19" s="94"/>
      <c r="BZ19" s="94"/>
      <c r="CA19" s="94"/>
    </row>
    <row r="20" ht="46.5" customHeight="1">
      <c r="A20" s="2"/>
      <c r="B20" s="33" t="s">
        <v>65</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82"/>
      <c r="AU20" s="82"/>
      <c r="AV20" s="82"/>
      <c r="AW20" s="5"/>
      <c r="AX20" s="5"/>
      <c r="AY20" s="5"/>
      <c r="AZ20" s="5"/>
      <c r="BA20" s="5"/>
      <c r="BB20" s="31"/>
      <c r="BC20" s="32"/>
      <c r="BD20" s="32"/>
      <c r="BE20" s="32"/>
      <c r="BF20" s="32"/>
      <c r="BG20" s="32"/>
      <c r="BH20" s="7"/>
      <c r="BI20" s="7"/>
      <c r="BJ20" s="7"/>
      <c r="BK20" s="7"/>
      <c r="BL20" s="7"/>
      <c r="BM20" s="7"/>
      <c r="BN20" s="7"/>
      <c r="BO20" s="7"/>
      <c r="BP20" s="7"/>
      <c r="BQ20" s="7"/>
      <c r="BR20" s="7"/>
      <c r="BS20" s="7"/>
      <c r="BT20" s="7"/>
      <c r="BU20" s="7"/>
      <c r="BV20" s="7"/>
      <c r="BW20" s="7"/>
      <c r="BX20" s="7"/>
      <c r="BY20" s="7"/>
      <c r="BZ20" s="7"/>
      <c r="CA20" s="7"/>
    </row>
    <row r="21" ht="30.0" customHeight="1">
      <c r="A21" s="2"/>
      <c r="B21" s="38" t="s">
        <v>14</v>
      </c>
      <c r="C21" s="39" t="s">
        <v>15</v>
      </c>
      <c r="D21" s="40" t="s">
        <v>16</v>
      </c>
      <c r="E21" s="40" t="s">
        <v>17</v>
      </c>
      <c r="F21" s="40" t="s">
        <v>58</v>
      </c>
      <c r="G21" s="40" t="s">
        <v>20</v>
      </c>
      <c r="H21" s="40" t="s">
        <v>58</v>
      </c>
      <c r="I21" s="40" t="s">
        <v>16</v>
      </c>
      <c r="J21" s="40" t="s">
        <v>17</v>
      </c>
      <c r="K21" s="40" t="s">
        <v>19</v>
      </c>
      <c r="L21" s="40" t="s">
        <v>20</v>
      </c>
      <c r="M21" s="40" t="s">
        <v>21</v>
      </c>
      <c r="N21" s="40" t="s">
        <v>22</v>
      </c>
      <c r="O21" s="40" t="s">
        <v>19</v>
      </c>
      <c r="P21" s="40" t="s">
        <v>24</v>
      </c>
      <c r="Q21" s="41" t="s">
        <v>27</v>
      </c>
      <c r="R21" s="40" t="s">
        <v>19</v>
      </c>
      <c r="S21" s="41" t="s">
        <v>59</v>
      </c>
      <c r="T21" s="41" t="s">
        <v>30</v>
      </c>
      <c r="U21" s="40" t="s">
        <v>19</v>
      </c>
      <c r="V21" s="41" t="s">
        <v>31</v>
      </c>
      <c r="W21" s="41" t="s">
        <v>32</v>
      </c>
      <c r="X21" s="40" t="s">
        <v>19</v>
      </c>
      <c r="Y21" s="41" t="s">
        <v>33</v>
      </c>
      <c r="Z21" s="41" t="s">
        <v>34</v>
      </c>
      <c r="AA21" s="40" t="s">
        <v>19</v>
      </c>
      <c r="AB21" s="41" t="s">
        <v>35</v>
      </c>
      <c r="AC21" s="42" t="s">
        <v>36</v>
      </c>
      <c r="AD21" s="40" t="s">
        <v>19</v>
      </c>
      <c r="AE21" s="42" t="s">
        <v>37</v>
      </c>
      <c r="AF21" s="41" t="s">
        <v>60</v>
      </c>
      <c r="AG21" s="42" t="s">
        <v>38</v>
      </c>
      <c r="AH21" s="40" t="s">
        <v>19</v>
      </c>
      <c r="AI21" s="42" t="s">
        <v>39</v>
      </c>
      <c r="AJ21" s="41" t="s">
        <v>61</v>
      </c>
      <c r="AK21" s="42" t="s">
        <v>40</v>
      </c>
      <c r="AL21" s="40" t="s">
        <v>19</v>
      </c>
      <c r="AM21" s="42" t="s">
        <v>41</v>
      </c>
      <c r="AN21" s="42" t="s">
        <v>42</v>
      </c>
      <c r="AO21" s="40" t="s">
        <v>19</v>
      </c>
      <c r="AP21" s="42" t="s">
        <v>43</v>
      </c>
      <c r="AQ21" s="42" t="s">
        <v>44</v>
      </c>
      <c r="AR21" s="40" t="s">
        <v>19</v>
      </c>
      <c r="AS21" s="42" t="s">
        <v>45</v>
      </c>
      <c r="AT21" s="42" t="s">
        <v>46</v>
      </c>
      <c r="AU21" s="40" t="s">
        <v>19</v>
      </c>
      <c r="AV21" s="42" t="s">
        <v>47</v>
      </c>
      <c r="AW21" s="5"/>
      <c r="AX21" s="5"/>
      <c r="AY21" s="5"/>
      <c r="AZ21" s="5"/>
      <c r="BA21" s="5"/>
      <c r="BB21" s="9"/>
      <c r="BC21" s="46"/>
      <c r="BD21" s="46"/>
      <c r="BE21" s="46"/>
      <c r="BF21" s="46"/>
      <c r="BG21" s="46"/>
      <c r="BH21" s="47"/>
      <c r="BI21" s="48"/>
      <c r="BJ21" s="48"/>
      <c r="BO21" s="7"/>
      <c r="BP21" s="7"/>
      <c r="BQ21" s="7"/>
      <c r="BR21" s="7"/>
      <c r="BS21" s="7"/>
      <c r="BT21" s="7"/>
      <c r="BU21" s="7"/>
      <c r="BV21" s="7"/>
      <c r="BW21" s="7"/>
      <c r="BX21" s="7"/>
      <c r="BY21" s="7"/>
      <c r="BZ21" s="7"/>
      <c r="CA21" s="7"/>
    </row>
    <row r="22" ht="30.0" customHeight="1">
      <c r="A22" s="2"/>
      <c r="C22" s="28"/>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5"/>
      <c r="AX22" s="5"/>
      <c r="AY22" s="5"/>
      <c r="AZ22" s="5"/>
      <c r="BA22" s="5"/>
      <c r="BB22" s="50"/>
      <c r="BC22" s="51"/>
      <c r="BD22" s="51"/>
      <c r="BE22" s="51"/>
      <c r="BF22" s="51"/>
      <c r="BG22" s="51"/>
      <c r="BH22" s="52">
        <v>18.0</v>
      </c>
      <c r="BI22" s="52">
        <v>25.0</v>
      </c>
      <c r="BJ22" s="52">
        <v>2.0</v>
      </c>
      <c r="BK22" s="52">
        <v>9.0</v>
      </c>
      <c r="BL22" s="52">
        <v>16.0</v>
      </c>
      <c r="BM22" s="52">
        <v>23.0</v>
      </c>
      <c r="BN22" s="52">
        <v>30.0</v>
      </c>
      <c r="BO22" s="7"/>
      <c r="BP22" s="7"/>
      <c r="BQ22" s="7"/>
      <c r="BR22" s="7"/>
      <c r="BS22" s="7"/>
      <c r="BT22" s="7"/>
      <c r="BU22" s="7"/>
      <c r="BV22" s="7"/>
      <c r="BW22" s="7"/>
      <c r="BX22" s="7"/>
      <c r="BY22" s="7"/>
      <c r="BZ22" s="7"/>
      <c r="CA22" s="7"/>
    </row>
    <row r="23" ht="51.75" customHeight="1">
      <c r="A23" s="2"/>
      <c r="B23" s="53" t="s">
        <v>62</v>
      </c>
      <c r="C23" s="54" t="s">
        <v>15</v>
      </c>
      <c r="D23" s="95"/>
      <c r="E23" s="95"/>
      <c r="F23" s="105"/>
      <c r="G23" s="105"/>
      <c r="H23" s="106"/>
      <c r="I23" s="55">
        <v>860540.0</v>
      </c>
      <c r="J23" s="55">
        <v>36947.0</v>
      </c>
      <c r="K23" s="56">
        <v>0.04293466892881214</v>
      </c>
      <c r="L23" s="57">
        <v>1.613242763600759</v>
      </c>
      <c r="M23" s="55">
        <v>860540.0</v>
      </c>
      <c r="N23" s="55">
        <v>32711.0</v>
      </c>
      <c r="O23" s="56">
        <v>0.03801217839960955</v>
      </c>
      <c r="P23" s="57">
        <v>5.186726177738375</v>
      </c>
      <c r="Q23" s="64">
        <v>32256.0</v>
      </c>
      <c r="R23" s="107">
        <v>0.0375</v>
      </c>
      <c r="S23" s="58">
        <v>1.76</v>
      </c>
      <c r="T23" s="64">
        <v>42839.0</v>
      </c>
      <c r="U23" s="107">
        <v>0.0498</v>
      </c>
      <c r="V23" s="58">
        <v>1.6</v>
      </c>
      <c r="W23" s="64">
        <v>35818.0</v>
      </c>
      <c r="X23" s="107">
        <v>0.0416</v>
      </c>
      <c r="Y23" s="58">
        <v>1.49</v>
      </c>
      <c r="Z23" s="64">
        <v>125771.0</v>
      </c>
      <c r="AA23" s="107">
        <v>0.1462</v>
      </c>
      <c r="AB23" s="58">
        <v>1.28</v>
      </c>
      <c r="AC23" s="64">
        <v>58331.0</v>
      </c>
      <c r="AD23" s="107">
        <v>0.094</v>
      </c>
      <c r="AE23" s="58">
        <v>1.59</v>
      </c>
      <c r="AF23" s="64">
        <v>860540.0</v>
      </c>
      <c r="AG23" s="64">
        <v>42235.0</v>
      </c>
      <c r="AH23" s="56">
        <f>AG23/AF23</f>
        <v>0.04907964766</v>
      </c>
      <c r="AI23" s="57">
        <f>73195/AG23</f>
        <v>1.733041316</v>
      </c>
      <c r="AJ23" s="64">
        <v>860540.0</v>
      </c>
      <c r="AK23" s="64">
        <v>36942.0</v>
      </c>
      <c r="AL23" s="107">
        <v>0.0429</v>
      </c>
      <c r="AM23" s="58">
        <v>2.27</v>
      </c>
      <c r="AN23" s="64">
        <v>27468.0</v>
      </c>
      <c r="AO23" s="107">
        <v>0.0319</v>
      </c>
      <c r="AP23" s="58">
        <v>2.46</v>
      </c>
      <c r="AQ23" s="64">
        <v>32869.0</v>
      </c>
      <c r="AR23" s="107">
        <v>0.0382</v>
      </c>
      <c r="AS23" s="58">
        <v>2.03</v>
      </c>
      <c r="AT23" s="64">
        <v>43068.0</v>
      </c>
      <c r="AU23" s="107">
        <v>0.05</v>
      </c>
      <c r="AV23" s="58">
        <v>1.55</v>
      </c>
      <c r="AW23" s="5"/>
      <c r="AX23" s="5"/>
      <c r="AY23" s="5"/>
      <c r="AZ23" s="5"/>
      <c r="BA23" s="5"/>
      <c r="BB23" s="60"/>
      <c r="BC23" s="61"/>
      <c r="BD23" s="61"/>
      <c r="BE23" s="61"/>
      <c r="BF23" s="61"/>
      <c r="BG23" s="61"/>
      <c r="BH23" s="62"/>
      <c r="BI23" s="62"/>
      <c r="BJ23" s="62"/>
      <c r="BK23" s="62"/>
      <c r="BL23" s="62"/>
      <c r="BM23" s="62"/>
      <c r="BN23" s="62"/>
      <c r="BO23" s="62"/>
      <c r="BP23" s="62"/>
      <c r="BQ23" s="62"/>
      <c r="BR23" s="62"/>
      <c r="BS23" s="62"/>
      <c r="BT23" s="62"/>
      <c r="BU23" s="62"/>
      <c r="BV23" s="62"/>
      <c r="BW23" s="62"/>
      <c r="BX23" s="62"/>
      <c r="BY23" s="62"/>
      <c r="BZ23" s="62"/>
      <c r="CA23" s="62"/>
    </row>
    <row r="24" ht="51.75" customHeight="1">
      <c r="A24" s="2"/>
      <c r="B24" s="108"/>
      <c r="C24" s="54" t="s">
        <v>63</v>
      </c>
      <c r="D24" s="95"/>
      <c r="E24" s="95"/>
      <c r="F24" s="105"/>
      <c r="G24" s="105"/>
      <c r="H24" s="106"/>
      <c r="I24" s="55">
        <v>4857656.0</v>
      </c>
      <c r="J24" s="55">
        <v>43253.18356018385</v>
      </c>
      <c r="K24" s="56">
        <v>0.008904126508790217</v>
      </c>
      <c r="L24" s="57">
        <v>1.7551764792572397</v>
      </c>
      <c r="M24" s="55">
        <v>4857656.0</v>
      </c>
      <c r="N24" s="55">
        <v>27142.0</v>
      </c>
      <c r="O24" s="56">
        <v>0.005587468523913591</v>
      </c>
      <c r="P24" s="57">
        <v>1.7551764792572397</v>
      </c>
      <c r="Q24" s="64">
        <v>26413.0</v>
      </c>
      <c r="R24" s="107">
        <v>0.0054</v>
      </c>
      <c r="S24" s="58">
        <v>1.78</v>
      </c>
      <c r="T24" s="64">
        <v>36322.0</v>
      </c>
      <c r="U24" s="107">
        <v>0.0075</v>
      </c>
      <c r="V24" s="58">
        <v>1.59</v>
      </c>
      <c r="W24" s="64">
        <v>30648.0</v>
      </c>
      <c r="X24" s="107">
        <v>0.0063</v>
      </c>
      <c r="Y24" s="58">
        <v>1.5</v>
      </c>
      <c r="Z24" s="109"/>
      <c r="AA24" s="48"/>
      <c r="AB24" s="66"/>
      <c r="AC24" s="110"/>
      <c r="AD24" s="110"/>
      <c r="AE24" s="110"/>
      <c r="AF24" s="110"/>
      <c r="AG24" s="110"/>
      <c r="AH24" s="110"/>
      <c r="AI24" s="110"/>
      <c r="AJ24" s="110"/>
      <c r="AK24" s="110"/>
      <c r="AL24" s="110"/>
      <c r="AM24" s="110"/>
      <c r="AN24" s="110"/>
      <c r="AO24" s="110"/>
      <c r="AP24" s="110"/>
      <c r="AQ24" s="110"/>
      <c r="AR24" s="110"/>
      <c r="AS24" s="110"/>
      <c r="AT24" s="110"/>
      <c r="AU24" s="110"/>
      <c r="AV24" s="110"/>
      <c r="AW24" s="5"/>
      <c r="AX24" s="5"/>
      <c r="AY24" s="5"/>
      <c r="AZ24" s="5"/>
      <c r="BA24" s="5"/>
      <c r="BB24" s="60"/>
      <c r="BC24" s="61"/>
      <c r="BD24" s="61"/>
      <c r="BE24" s="61"/>
      <c r="BF24" s="61"/>
      <c r="BG24" s="61"/>
      <c r="BH24" s="62"/>
      <c r="BI24" s="62"/>
      <c r="BJ24" s="62"/>
      <c r="BK24" s="62"/>
      <c r="BL24" s="62"/>
      <c r="BM24" s="62"/>
      <c r="BN24" s="62"/>
      <c r="BO24" s="62"/>
      <c r="BP24" s="62"/>
      <c r="BQ24" s="62"/>
      <c r="BR24" s="62"/>
      <c r="BS24" s="62"/>
      <c r="BT24" s="62"/>
      <c r="BU24" s="62"/>
      <c r="BV24" s="62"/>
      <c r="BW24" s="62"/>
      <c r="BX24" s="62"/>
      <c r="BY24" s="62"/>
      <c r="BZ24" s="62"/>
      <c r="CA24" s="62"/>
    </row>
    <row r="25" ht="51.75" customHeight="1">
      <c r="A25" s="2"/>
      <c r="B25" s="63"/>
      <c r="C25" s="54" t="s">
        <v>49</v>
      </c>
      <c r="D25" s="95"/>
      <c r="E25" s="106"/>
      <c r="F25" s="111"/>
      <c r="G25" s="111"/>
      <c r="H25" s="106"/>
      <c r="I25" s="55">
        <v>631292.0</v>
      </c>
      <c r="J25" s="55">
        <v>51888.39731776095</v>
      </c>
      <c r="K25" s="56">
        <v>0.08219397254798247</v>
      </c>
      <c r="L25" s="57">
        <v>1.9790982195938547</v>
      </c>
      <c r="M25" s="55">
        <v>631292.0</v>
      </c>
      <c r="N25" s="55">
        <v>46790.43232064972</v>
      </c>
      <c r="O25" s="56">
        <v>0.0741185256912011</v>
      </c>
      <c r="P25" s="57">
        <v>2.2721525475856885</v>
      </c>
      <c r="Q25" s="64">
        <v>28893.0</v>
      </c>
      <c r="R25" s="107">
        <v>0.0458</v>
      </c>
      <c r="S25" s="58">
        <v>2.28</v>
      </c>
      <c r="T25" s="64">
        <v>34089.0</v>
      </c>
      <c r="U25" s="107">
        <v>0.054</v>
      </c>
      <c r="V25" s="58">
        <v>2.35</v>
      </c>
      <c r="W25" s="64">
        <v>28839.0</v>
      </c>
      <c r="X25" s="107">
        <v>0.0457</v>
      </c>
      <c r="Y25" s="58">
        <v>2.23</v>
      </c>
      <c r="Z25" s="64">
        <v>114284.0</v>
      </c>
      <c r="AA25" s="107">
        <v>0.181</v>
      </c>
      <c r="AB25" s="58">
        <v>1.91</v>
      </c>
      <c r="AC25" s="64">
        <v>63053.0</v>
      </c>
      <c r="AD25" s="107">
        <v>0.0999</v>
      </c>
      <c r="AE25" s="58">
        <v>1.83</v>
      </c>
      <c r="AF25" s="64">
        <v>631292.0</v>
      </c>
      <c r="AG25" s="64">
        <v>47308.0</v>
      </c>
      <c r="AH25" s="56">
        <f>AG25/AF25</f>
        <v>0.07493838034</v>
      </c>
      <c r="AI25" s="57">
        <f>96341/AG25</f>
        <v>2.036463177</v>
      </c>
      <c r="AJ25" s="64">
        <v>631292.0</v>
      </c>
      <c r="AK25" s="64">
        <v>39665.0</v>
      </c>
      <c r="AL25" s="107">
        <v>0.0628</v>
      </c>
      <c r="AM25" s="58">
        <v>2.54</v>
      </c>
      <c r="AN25" s="64">
        <v>24950.0</v>
      </c>
      <c r="AO25" s="107">
        <v>0.0395</v>
      </c>
      <c r="AP25" s="58">
        <v>3.21</v>
      </c>
      <c r="AQ25" s="64">
        <v>32401.0</v>
      </c>
      <c r="AR25" s="107">
        <v>0.0513</v>
      </c>
      <c r="AS25" s="58">
        <v>2.48</v>
      </c>
      <c r="AT25" s="64">
        <v>46523.0</v>
      </c>
      <c r="AU25" s="107">
        <v>0.0737</v>
      </c>
      <c r="AV25" s="58">
        <v>1.72</v>
      </c>
      <c r="AW25" s="5"/>
      <c r="AX25" s="5"/>
      <c r="AY25" s="5"/>
      <c r="AZ25" s="5"/>
      <c r="BA25" s="5"/>
      <c r="BB25" s="60"/>
      <c r="BC25" s="61"/>
      <c r="BD25" s="61"/>
      <c r="BE25" s="61"/>
      <c r="BF25" s="61"/>
      <c r="BG25" s="61"/>
      <c r="BH25" s="7"/>
      <c r="BI25" s="7"/>
      <c r="BJ25" s="7"/>
      <c r="BK25" s="7"/>
      <c r="BL25" s="7"/>
      <c r="BM25" s="7"/>
      <c r="BN25" s="7"/>
      <c r="BO25" s="7"/>
      <c r="BP25" s="7"/>
      <c r="BQ25" s="7"/>
      <c r="BR25" s="7"/>
      <c r="BS25" s="7"/>
      <c r="BT25" s="7"/>
      <c r="BU25" s="7"/>
      <c r="BV25" s="7"/>
      <c r="BW25" s="7"/>
      <c r="BX25" s="7"/>
      <c r="BY25" s="7"/>
      <c r="BZ25" s="7"/>
      <c r="CA25" s="7"/>
    </row>
    <row r="26" ht="26.25" customHeight="1">
      <c r="A26" s="2"/>
      <c r="B26" s="65"/>
      <c r="C26" s="48"/>
      <c r="D26" s="48"/>
      <c r="E26" s="66"/>
      <c r="F26" s="67"/>
      <c r="G26" s="67"/>
      <c r="H26" s="65"/>
      <c r="I26" s="68"/>
      <c r="J26" s="68"/>
      <c r="K26" s="68"/>
      <c r="L26" s="68"/>
      <c r="M26" s="68"/>
      <c r="N26" s="68"/>
      <c r="O26" s="68"/>
      <c r="P26" s="68"/>
      <c r="Q26" s="68"/>
      <c r="R26" s="68"/>
      <c r="S26" s="68"/>
      <c r="T26" s="68"/>
      <c r="U26" s="68"/>
      <c r="V26" s="68"/>
      <c r="W26" s="68"/>
      <c r="X26" s="68"/>
      <c r="Y26" s="68"/>
      <c r="Z26" s="68"/>
      <c r="AA26" s="68"/>
      <c r="AB26" s="68"/>
      <c r="AC26" s="70"/>
      <c r="AD26" s="70"/>
      <c r="AE26" s="70"/>
      <c r="AF26" s="70"/>
      <c r="AG26" s="70"/>
      <c r="AH26" s="70"/>
      <c r="AI26" s="70"/>
      <c r="AJ26" s="70"/>
      <c r="AK26" s="70"/>
      <c r="AL26" s="70"/>
      <c r="AM26" s="70"/>
      <c r="AN26" s="70"/>
      <c r="AO26" s="70"/>
      <c r="AP26" s="70"/>
      <c r="AQ26" s="70"/>
      <c r="AR26" s="70"/>
      <c r="AS26" s="70"/>
      <c r="AT26" s="70"/>
      <c r="AU26" s="70"/>
      <c r="AV26" s="70"/>
      <c r="AW26" s="5"/>
      <c r="AX26" s="5"/>
      <c r="AY26" s="5"/>
      <c r="AZ26" s="5"/>
      <c r="BA26" s="5"/>
      <c r="BB26" s="2"/>
      <c r="BC26" s="6"/>
      <c r="BD26" s="6"/>
      <c r="BE26" s="6"/>
      <c r="BF26" s="6"/>
      <c r="BG26" s="6"/>
      <c r="BH26" s="7"/>
      <c r="BI26" s="7"/>
      <c r="BJ26" s="7"/>
      <c r="BK26" s="7"/>
      <c r="BL26" s="7"/>
      <c r="BM26" s="7"/>
      <c r="BN26" s="7"/>
      <c r="BO26" s="7"/>
      <c r="BP26" s="7"/>
      <c r="BQ26" s="7"/>
      <c r="BR26" s="7"/>
      <c r="BS26" s="7"/>
      <c r="BT26" s="7"/>
      <c r="BU26" s="7"/>
      <c r="BV26" s="7"/>
      <c r="BW26" s="7"/>
      <c r="BX26" s="7"/>
      <c r="BY26" s="7"/>
      <c r="BZ26" s="7"/>
      <c r="CA26" s="7"/>
    </row>
    <row r="27" ht="33.75" customHeight="1">
      <c r="A27" s="72"/>
      <c r="B27" s="112" t="s">
        <v>64</v>
      </c>
      <c r="C27" s="74"/>
      <c r="D27" s="75"/>
      <c r="E27" s="113" t="str">
        <f>((sum(E23:E25)-E28)/E28)</f>
        <v>#DIV/0!</v>
      </c>
      <c r="F27" s="75"/>
      <c r="G27" s="75"/>
      <c r="H27" s="75"/>
      <c r="I27" s="114"/>
      <c r="J27" s="114"/>
      <c r="K27" s="114"/>
      <c r="L27" s="114"/>
      <c r="M27" s="114"/>
      <c r="N27" s="113">
        <f>((sum(N23:N25)-N28)/N28)</f>
        <v>0.4191498193</v>
      </c>
      <c r="O27" s="114"/>
      <c r="P27" s="114"/>
      <c r="Q27" s="114"/>
      <c r="R27" s="114"/>
      <c r="S27" s="114"/>
      <c r="T27" s="114"/>
      <c r="U27" s="114"/>
      <c r="V27" s="114"/>
      <c r="W27" s="114"/>
      <c r="X27" s="114"/>
      <c r="Y27" s="114"/>
      <c r="Z27" s="114"/>
      <c r="AA27" s="114"/>
      <c r="AB27" s="114"/>
      <c r="AC27" s="82"/>
      <c r="AD27" s="82"/>
      <c r="AE27" s="82"/>
      <c r="AF27" s="82"/>
      <c r="AG27" s="82"/>
      <c r="AH27" s="82"/>
      <c r="AI27" s="82"/>
      <c r="AJ27" s="82"/>
      <c r="AK27" s="82"/>
      <c r="AL27" s="82"/>
      <c r="AM27" s="82"/>
      <c r="AN27" s="82"/>
      <c r="AO27" s="82"/>
      <c r="AP27" s="82"/>
      <c r="AQ27" s="82"/>
      <c r="AR27" s="82"/>
      <c r="AS27" s="82"/>
      <c r="AT27" s="82"/>
      <c r="AU27" s="82"/>
      <c r="AV27" s="82"/>
      <c r="AW27" s="5"/>
      <c r="AX27" s="5"/>
      <c r="AY27" s="5"/>
      <c r="AZ27" s="5"/>
      <c r="BA27" s="5"/>
      <c r="BB27" s="5"/>
      <c r="BC27" s="72"/>
      <c r="BD27" s="83"/>
      <c r="BE27" s="83"/>
      <c r="BF27" s="83"/>
      <c r="BG27" s="83"/>
      <c r="BH27" s="83"/>
      <c r="BI27" s="84"/>
      <c r="BJ27" s="84"/>
      <c r="BK27" s="84"/>
      <c r="BL27" s="84"/>
      <c r="BM27" s="84"/>
      <c r="BN27" s="84"/>
      <c r="BO27" s="84"/>
      <c r="BP27" s="84"/>
      <c r="BQ27" s="84"/>
      <c r="BR27" s="84"/>
      <c r="BS27" s="84"/>
      <c r="BT27" s="84"/>
      <c r="BU27" s="84"/>
      <c r="BV27" s="84"/>
      <c r="BW27" s="84"/>
      <c r="BX27" s="84"/>
      <c r="BY27" s="84"/>
      <c r="BZ27" s="84"/>
      <c r="CA27" s="84"/>
    </row>
    <row r="28" ht="33.75" customHeight="1">
      <c r="A28" s="72"/>
      <c r="B28" s="73" t="s">
        <v>51</v>
      </c>
      <c r="C28" s="74"/>
      <c r="D28" s="75"/>
      <c r="E28" s="75"/>
      <c r="F28" s="75"/>
      <c r="G28" s="75"/>
      <c r="H28" s="75"/>
      <c r="I28" s="75"/>
      <c r="J28" s="75"/>
      <c r="K28" s="75"/>
      <c r="L28" s="81"/>
      <c r="M28" s="81"/>
      <c r="N28" s="118">
        <v>75146.0</v>
      </c>
      <c r="O28" s="115"/>
      <c r="P28" s="112">
        <v>2.26</v>
      </c>
      <c r="Q28" s="75"/>
      <c r="R28" s="81"/>
      <c r="S28" s="75"/>
      <c r="T28" s="81"/>
      <c r="U28" s="81"/>
      <c r="V28" s="81"/>
      <c r="W28" s="81"/>
      <c r="X28" s="75"/>
      <c r="Y28" s="81"/>
      <c r="Z28" s="81"/>
      <c r="AA28" s="81"/>
      <c r="AB28" s="81"/>
      <c r="AC28" s="82"/>
      <c r="AD28" s="82"/>
      <c r="AE28" s="82"/>
      <c r="AF28" s="82"/>
      <c r="AG28" s="82"/>
      <c r="AH28" s="82"/>
      <c r="AI28" s="82"/>
      <c r="AJ28" s="82"/>
      <c r="AK28" s="82"/>
      <c r="AL28" s="82"/>
      <c r="AM28" s="82"/>
      <c r="AN28" s="82"/>
      <c r="AO28" s="82"/>
      <c r="AP28" s="82"/>
      <c r="AQ28" s="82"/>
      <c r="AR28" s="82"/>
      <c r="AS28" s="82"/>
      <c r="AT28" s="82"/>
      <c r="AU28" s="82"/>
      <c r="AV28" s="82"/>
      <c r="AW28" s="5"/>
      <c r="AX28" s="5"/>
      <c r="AY28" s="5"/>
      <c r="AZ28" s="5"/>
      <c r="BA28" s="5"/>
      <c r="BB28" s="72"/>
      <c r="BC28" s="83"/>
      <c r="BD28" s="83"/>
      <c r="BE28" s="83"/>
      <c r="BF28" s="83"/>
      <c r="BG28" s="83"/>
      <c r="BH28" s="84"/>
      <c r="BI28" s="84"/>
      <c r="BJ28" s="84"/>
      <c r="BK28" s="84"/>
      <c r="BL28" s="84"/>
      <c r="BM28" s="84"/>
      <c r="BN28" s="84"/>
      <c r="BO28" s="84"/>
      <c r="BP28" s="84"/>
      <c r="BQ28" s="84"/>
      <c r="BR28" s="84"/>
      <c r="BS28" s="84"/>
      <c r="BT28" s="84"/>
      <c r="BU28" s="84"/>
      <c r="BV28" s="84"/>
      <c r="BW28" s="84"/>
      <c r="BX28" s="84"/>
      <c r="BY28" s="84"/>
      <c r="BZ28" s="84"/>
      <c r="CA28" s="84"/>
    </row>
    <row r="29" ht="15.75" customHeight="1">
      <c r="A29" s="98"/>
      <c r="B29" s="98"/>
      <c r="C29" s="98"/>
      <c r="D29" s="98"/>
      <c r="E29" s="98"/>
      <c r="F29" s="98"/>
      <c r="G29" s="98"/>
      <c r="H29" s="98"/>
      <c r="I29" s="99"/>
      <c r="J29" s="99"/>
      <c r="K29" s="99"/>
      <c r="L29" s="99"/>
      <c r="M29" s="14"/>
      <c r="N29" s="14"/>
      <c r="O29" s="14"/>
      <c r="P29" s="14"/>
      <c r="Q29" s="10"/>
      <c r="R29" s="14"/>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5"/>
      <c r="AX29" s="5"/>
      <c r="AY29" s="5"/>
      <c r="AZ29" s="5"/>
      <c r="BA29" s="5"/>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row>
    <row r="30" ht="46.5" customHeight="1">
      <c r="A30" s="2"/>
      <c r="B30" s="33" t="s">
        <v>66</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82"/>
      <c r="AU30" s="82"/>
      <c r="AV30" s="82"/>
      <c r="AW30" s="5"/>
      <c r="AX30" s="5"/>
      <c r="AY30" s="5"/>
      <c r="AZ30" s="5"/>
      <c r="BA30" s="5"/>
      <c r="BB30" s="31"/>
      <c r="BC30" s="32"/>
      <c r="BD30" s="32"/>
      <c r="BE30" s="32"/>
      <c r="BF30" s="32"/>
      <c r="BG30" s="32"/>
      <c r="BH30" s="7"/>
      <c r="BI30" s="7"/>
      <c r="BJ30" s="7"/>
      <c r="BK30" s="7"/>
      <c r="BL30" s="7"/>
      <c r="BM30" s="7"/>
      <c r="BN30" s="7"/>
      <c r="BO30" s="7"/>
      <c r="BP30" s="7"/>
      <c r="BQ30" s="7"/>
      <c r="BR30" s="7"/>
      <c r="BS30" s="7"/>
      <c r="BT30" s="7"/>
      <c r="BU30" s="7"/>
      <c r="BV30" s="7"/>
      <c r="BW30" s="7"/>
      <c r="BX30" s="7"/>
      <c r="BY30" s="7"/>
      <c r="BZ30" s="7"/>
      <c r="CA30" s="7"/>
    </row>
    <row r="31" ht="30.0" customHeight="1">
      <c r="A31" s="2"/>
      <c r="B31" s="38" t="s">
        <v>14</v>
      </c>
      <c r="C31" s="39" t="s">
        <v>15</v>
      </c>
      <c r="D31" s="40" t="s">
        <v>16</v>
      </c>
      <c r="E31" s="40" t="s">
        <v>17</v>
      </c>
      <c r="F31" s="40" t="s">
        <v>58</v>
      </c>
      <c r="G31" s="40" t="s">
        <v>20</v>
      </c>
      <c r="H31" s="40" t="s">
        <v>58</v>
      </c>
      <c r="I31" s="40" t="s">
        <v>16</v>
      </c>
      <c r="J31" s="40" t="s">
        <v>17</v>
      </c>
      <c r="K31" s="40" t="s">
        <v>19</v>
      </c>
      <c r="L31" s="40" t="s">
        <v>20</v>
      </c>
      <c r="M31" s="40" t="s">
        <v>21</v>
      </c>
      <c r="N31" s="40" t="s">
        <v>22</v>
      </c>
      <c r="O31" s="40" t="s">
        <v>19</v>
      </c>
      <c r="P31" s="40" t="s">
        <v>24</v>
      </c>
      <c r="Q31" s="41" t="s">
        <v>27</v>
      </c>
      <c r="R31" s="40" t="s">
        <v>19</v>
      </c>
      <c r="S31" s="41" t="s">
        <v>59</v>
      </c>
      <c r="T31" s="41" t="s">
        <v>30</v>
      </c>
      <c r="U31" s="40" t="s">
        <v>19</v>
      </c>
      <c r="V31" s="41" t="s">
        <v>31</v>
      </c>
      <c r="W31" s="41" t="s">
        <v>32</v>
      </c>
      <c r="X31" s="40" t="s">
        <v>19</v>
      </c>
      <c r="Y31" s="41" t="s">
        <v>33</v>
      </c>
      <c r="Z31" s="41" t="s">
        <v>34</v>
      </c>
      <c r="AA31" s="40" t="s">
        <v>19</v>
      </c>
      <c r="AB31" s="41" t="s">
        <v>35</v>
      </c>
      <c r="AC31" s="42" t="s">
        <v>36</v>
      </c>
      <c r="AD31" s="40" t="s">
        <v>19</v>
      </c>
      <c r="AE31" s="42" t="s">
        <v>37</v>
      </c>
      <c r="AF31" s="41" t="s">
        <v>60</v>
      </c>
      <c r="AG31" s="42" t="s">
        <v>38</v>
      </c>
      <c r="AH31" s="40" t="s">
        <v>19</v>
      </c>
      <c r="AI31" s="42" t="s">
        <v>39</v>
      </c>
      <c r="AJ31" s="41" t="s">
        <v>61</v>
      </c>
      <c r="AK31" s="42" t="s">
        <v>40</v>
      </c>
      <c r="AL31" s="40" t="s">
        <v>19</v>
      </c>
      <c r="AM31" s="42" t="s">
        <v>41</v>
      </c>
      <c r="AN31" s="42" t="s">
        <v>42</v>
      </c>
      <c r="AO31" s="40" t="s">
        <v>19</v>
      </c>
      <c r="AP31" s="42" t="s">
        <v>43</v>
      </c>
      <c r="AQ31" s="42" t="s">
        <v>44</v>
      </c>
      <c r="AR31" s="40" t="s">
        <v>19</v>
      </c>
      <c r="AS31" s="42" t="s">
        <v>45</v>
      </c>
      <c r="AT31" s="42" t="s">
        <v>46</v>
      </c>
      <c r="AU31" s="40" t="s">
        <v>19</v>
      </c>
      <c r="AV31" s="42" t="s">
        <v>47</v>
      </c>
      <c r="AW31" s="5"/>
      <c r="AX31" s="5"/>
      <c r="AY31" s="5"/>
      <c r="AZ31" s="5"/>
      <c r="BA31" s="5"/>
      <c r="BB31" s="9"/>
      <c r="BC31" s="46"/>
      <c r="BD31" s="46"/>
      <c r="BE31" s="46"/>
      <c r="BF31" s="46"/>
      <c r="BG31" s="46"/>
      <c r="BH31" s="47"/>
      <c r="BI31" s="48"/>
      <c r="BJ31" s="48"/>
      <c r="BO31" s="7"/>
      <c r="BP31" s="7"/>
      <c r="BQ31" s="7"/>
      <c r="BR31" s="7"/>
      <c r="BS31" s="7"/>
      <c r="BT31" s="7"/>
      <c r="BU31" s="7"/>
      <c r="BV31" s="7"/>
      <c r="BW31" s="7"/>
      <c r="BX31" s="7"/>
      <c r="BY31" s="7"/>
      <c r="BZ31" s="7"/>
      <c r="CA31" s="7"/>
    </row>
    <row r="32" ht="30.0" customHeight="1">
      <c r="A32" s="2"/>
      <c r="C32" s="28"/>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5"/>
      <c r="AX32" s="5"/>
      <c r="AY32" s="5"/>
      <c r="AZ32" s="5"/>
      <c r="BA32" s="5"/>
      <c r="BB32" s="50"/>
      <c r="BC32" s="51"/>
      <c r="BD32" s="51"/>
      <c r="BE32" s="51"/>
      <c r="BF32" s="51"/>
      <c r="BG32" s="51"/>
      <c r="BH32" s="52">
        <v>18.0</v>
      </c>
      <c r="BI32" s="52">
        <v>25.0</v>
      </c>
      <c r="BJ32" s="52">
        <v>2.0</v>
      </c>
      <c r="BK32" s="52">
        <v>9.0</v>
      </c>
      <c r="BL32" s="52">
        <v>16.0</v>
      </c>
      <c r="BM32" s="52">
        <v>23.0</v>
      </c>
      <c r="BN32" s="52">
        <v>30.0</v>
      </c>
      <c r="BO32" s="7"/>
      <c r="BP32" s="7"/>
      <c r="BQ32" s="7"/>
      <c r="BR32" s="7"/>
      <c r="BS32" s="7"/>
      <c r="BT32" s="7"/>
      <c r="BU32" s="7"/>
      <c r="BV32" s="7"/>
      <c r="BW32" s="7"/>
      <c r="BX32" s="7"/>
      <c r="BY32" s="7"/>
      <c r="BZ32" s="7"/>
      <c r="CA32" s="7"/>
    </row>
    <row r="33" ht="51.75" customHeight="1">
      <c r="A33" s="2"/>
      <c r="B33" s="53" t="s">
        <v>62</v>
      </c>
      <c r="C33" s="54" t="s">
        <v>15</v>
      </c>
      <c r="D33" s="95"/>
      <c r="E33" s="95"/>
      <c r="F33" s="105"/>
      <c r="G33" s="105"/>
      <c r="H33" s="106"/>
      <c r="I33" s="55">
        <v>620582.0</v>
      </c>
      <c r="J33" s="55">
        <v>36152.0</v>
      </c>
      <c r="K33" s="56">
        <v>0.0583</v>
      </c>
      <c r="L33" s="57">
        <v>1.09</v>
      </c>
      <c r="M33" s="55">
        <v>620582.0</v>
      </c>
      <c r="N33" s="55">
        <v>34398.0</v>
      </c>
      <c r="O33" s="56">
        <v>0.0554</v>
      </c>
      <c r="P33" s="57">
        <v>4.56</v>
      </c>
      <c r="Q33" s="64">
        <v>31393.0</v>
      </c>
      <c r="R33" s="107">
        <v>0.0506</v>
      </c>
      <c r="S33" s="58">
        <v>1.53</v>
      </c>
      <c r="T33" s="64">
        <v>31460.0</v>
      </c>
      <c r="U33" s="107">
        <v>0.0507</v>
      </c>
      <c r="V33" s="58">
        <v>1.52</v>
      </c>
      <c r="W33" s="64">
        <v>30345.0</v>
      </c>
      <c r="X33" s="107">
        <v>0.0489</v>
      </c>
      <c r="Y33" s="58">
        <v>1.53</v>
      </c>
      <c r="Z33" s="64">
        <v>85899.0</v>
      </c>
      <c r="AA33" s="107">
        <v>0.1384</v>
      </c>
      <c r="AB33" s="58">
        <v>1.47</v>
      </c>
      <c r="AC33" s="64">
        <v>49541.0</v>
      </c>
      <c r="AD33" s="107">
        <v>0.0108</v>
      </c>
      <c r="AE33" s="58">
        <v>1.6</v>
      </c>
      <c r="AF33" s="64">
        <v>620582.0</v>
      </c>
      <c r="AG33" s="64">
        <v>32212.0</v>
      </c>
      <c r="AH33" s="56">
        <f>AG33/AF33</f>
        <v>0.05190611394</v>
      </c>
      <c r="AI33" s="57">
        <f>58290/AG33</f>
        <v>1.809574072</v>
      </c>
      <c r="AJ33" s="64">
        <v>620582.0</v>
      </c>
      <c r="AK33" s="64">
        <v>42056.0</v>
      </c>
      <c r="AL33" s="107">
        <v>0.0678</v>
      </c>
      <c r="AM33" s="58">
        <v>1.79</v>
      </c>
      <c r="AN33" s="64">
        <v>34633.0</v>
      </c>
      <c r="AO33" s="107">
        <v>0.0558</v>
      </c>
      <c r="AP33" s="58">
        <v>1.68</v>
      </c>
      <c r="AQ33" s="64">
        <v>38552.0</v>
      </c>
      <c r="AR33" s="107">
        <v>0.0621</v>
      </c>
      <c r="AS33" s="58">
        <v>1.52</v>
      </c>
      <c r="AT33" s="64">
        <v>37913.0</v>
      </c>
      <c r="AU33" s="107">
        <v>0.0611</v>
      </c>
      <c r="AV33" s="58">
        <v>1.54</v>
      </c>
      <c r="AW33" s="5"/>
      <c r="AX33" s="5"/>
      <c r="AY33" s="5"/>
      <c r="AZ33" s="5"/>
      <c r="BA33" s="5"/>
      <c r="BB33" s="60"/>
      <c r="BC33" s="61"/>
      <c r="BD33" s="61"/>
      <c r="BE33" s="61"/>
      <c r="BF33" s="61"/>
      <c r="BG33" s="61"/>
      <c r="BH33" s="62"/>
      <c r="BI33" s="62"/>
      <c r="BJ33" s="62"/>
      <c r="BK33" s="62"/>
      <c r="BL33" s="62"/>
      <c r="BM33" s="62"/>
      <c r="BN33" s="62"/>
      <c r="BO33" s="62"/>
      <c r="BP33" s="62"/>
      <c r="BQ33" s="62"/>
      <c r="BR33" s="62"/>
      <c r="BS33" s="62"/>
      <c r="BT33" s="62"/>
      <c r="BU33" s="62"/>
      <c r="BV33" s="62"/>
      <c r="BW33" s="62"/>
      <c r="BX33" s="62"/>
      <c r="BY33" s="62"/>
      <c r="BZ33" s="62"/>
      <c r="CA33" s="62"/>
    </row>
    <row r="34" ht="51.75" customHeight="1">
      <c r="A34" s="2"/>
      <c r="B34" s="108"/>
      <c r="C34" s="54" t="s">
        <v>63</v>
      </c>
      <c r="D34" s="95"/>
      <c r="E34" s="95"/>
      <c r="F34" s="105"/>
      <c r="G34" s="105"/>
      <c r="H34" s="106"/>
      <c r="I34" s="55">
        <v>3961220.0</v>
      </c>
      <c r="J34" s="55">
        <v>42235.0</v>
      </c>
      <c r="K34" s="56">
        <v>0.0107</v>
      </c>
      <c r="L34" s="57">
        <v>1.52</v>
      </c>
      <c r="M34" s="55">
        <v>3961220.0</v>
      </c>
      <c r="N34" s="55">
        <v>30623.0</v>
      </c>
      <c r="O34" s="56">
        <v>0.0077</v>
      </c>
      <c r="P34" s="57">
        <v>1.27</v>
      </c>
      <c r="Q34" s="64">
        <v>28479.0</v>
      </c>
      <c r="R34" s="107">
        <v>0.0072</v>
      </c>
      <c r="S34" s="58">
        <v>1.44</v>
      </c>
      <c r="T34" s="64">
        <v>28105.0</v>
      </c>
      <c r="U34" s="107">
        <v>0.0071</v>
      </c>
      <c r="V34" s="58">
        <v>1.46</v>
      </c>
      <c r="W34" s="64">
        <v>27551.0</v>
      </c>
      <c r="X34" s="107">
        <v>0.007</v>
      </c>
      <c r="Y34" s="58">
        <v>1.45</v>
      </c>
      <c r="Z34" s="109"/>
      <c r="AA34" s="48"/>
      <c r="AB34" s="66"/>
      <c r="AC34" s="110"/>
      <c r="AD34" s="110"/>
      <c r="AE34" s="110"/>
      <c r="AF34" s="110"/>
      <c r="AG34" s="110"/>
      <c r="AH34" s="110"/>
      <c r="AI34" s="110"/>
      <c r="AJ34" s="110"/>
      <c r="AK34" s="110"/>
      <c r="AL34" s="110"/>
      <c r="AM34" s="110"/>
      <c r="AN34" s="110"/>
      <c r="AO34" s="110"/>
      <c r="AP34" s="110"/>
      <c r="AQ34" s="110"/>
      <c r="AR34" s="110"/>
      <c r="AS34" s="110"/>
      <c r="AT34" s="110"/>
      <c r="AU34" s="110"/>
      <c r="AV34" s="110"/>
      <c r="AW34" s="5"/>
      <c r="AX34" s="5"/>
      <c r="AY34" s="5"/>
      <c r="AZ34" s="5"/>
      <c r="BA34" s="5"/>
      <c r="BB34" s="60"/>
      <c r="BC34" s="61"/>
      <c r="BD34" s="61"/>
      <c r="BE34" s="61"/>
      <c r="BF34" s="61"/>
      <c r="BG34" s="61"/>
      <c r="BH34" s="62"/>
      <c r="BI34" s="62"/>
      <c r="BJ34" s="62"/>
      <c r="BK34" s="62"/>
      <c r="BL34" s="62"/>
      <c r="BM34" s="62"/>
      <c r="BN34" s="62"/>
      <c r="BO34" s="62"/>
      <c r="BP34" s="62"/>
      <c r="BQ34" s="62"/>
      <c r="BR34" s="62"/>
      <c r="BS34" s="62"/>
      <c r="BT34" s="62"/>
      <c r="BU34" s="62"/>
      <c r="BV34" s="62"/>
      <c r="BW34" s="62"/>
      <c r="BX34" s="62"/>
      <c r="BY34" s="62"/>
      <c r="BZ34" s="62"/>
      <c r="CA34" s="62"/>
    </row>
    <row r="35" ht="51.75" customHeight="1">
      <c r="A35" s="2"/>
      <c r="B35" s="63"/>
      <c r="C35" s="54" t="s">
        <v>49</v>
      </c>
      <c r="D35" s="95"/>
      <c r="E35" s="106"/>
      <c r="F35" s="111"/>
      <c r="G35" s="111"/>
      <c r="H35" s="106"/>
      <c r="I35" s="55">
        <v>218337.0</v>
      </c>
      <c r="J35" s="55">
        <v>50811.0</v>
      </c>
      <c r="K35" s="56">
        <v>0.2327</v>
      </c>
      <c r="L35" s="57">
        <v>2.38</v>
      </c>
      <c r="M35" s="55">
        <v>218337.0</v>
      </c>
      <c r="N35" s="55">
        <v>21297.0</v>
      </c>
      <c r="O35" s="56">
        <v>0.0975</v>
      </c>
      <c r="P35" s="57">
        <v>2.75</v>
      </c>
      <c r="Q35" s="64">
        <v>20432.0</v>
      </c>
      <c r="R35" s="107">
        <v>0.0936</v>
      </c>
      <c r="S35" s="58">
        <v>2.82</v>
      </c>
      <c r="T35" s="64">
        <v>20011.0</v>
      </c>
      <c r="U35" s="107">
        <v>0.0917</v>
      </c>
      <c r="V35" s="58">
        <v>2.88</v>
      </c>
      <c r="W35" s="64">
        <v>16077.0</v>
      </c>
      <c r="X35" s="107">
        <v>0.0736</v>
      </c>
      <c r="Y35" s="58">
        <v>3.49</v>
      </c>
      <c r="Z35" s="64">
        <v>51653.0</v>
      </c>
      <c r="AA35" s="107">
        <v>0.2366</v>
      </c>
      <c r="AB35" s="58">
        <v>3.33</v>
      </c>
      <c r="AC35" s="64">
        <v>41683.0</v>
      </c>
      <c r="AD35" s="107">
        <v>0.1909</v>
      </c>
      <c r="AE35" s="58">
        <v>2.4</v>
      </c>
      <c r="AF35" s="64">
        <v>218337.0</v>
      </c>
      <c r="AG35" s="64">
        <v>24564.0</v>
      </c>
      <c r="AH35" s="56">
        <f>AG35/AF35</f>
        <v>0.1125049808</v>
      </c>
      <c r="AI35" s="57">
        <f>76602/AG35</f>
        <v>3.118466048</v>
      </c>
      <c r="AJ35" s="64">
        <v>218337.0</v>
      </c>
      <c r="AK35" s="64">
        <v>27050.0</v>
      </c>
      <c r="AL35" s="107">
        <v>0.1239</v>
      </c>
      <c r="AM35" s="58">
        <v>2.84</v>
      </c>
      <c r="AN35" s="64">
        <v>19606.0</v>
      </c>
      <c r="AO35" s="107">
        <v>0.0898</v>
      </c>
      <c r="AP35" s="58">
        <v>3.57</v>
      </c>
      <c r="AQ35" s="64">
        <v>24481.0</v>
      </c>
      <c r="AR35" s="107">
        <v>0.1121</v>
      </c>
      <c r="AS35" s="58">
        <v>2.87</v>
      </c>
      <c r="AT35" s="64">
        <v>33581.0</v>
      </c>
      <c r="AU35" s="107">
        <v>0.1538</v>
      </c>
      <c r="AV35" s="58">
        <v>2.11</v>
      </c>
      <c r="AW35" s="5"/>
      <c r="AX35" s="5"/>
      <c r="AY35" s="5"/>
      <c r="AZ35" s="5"/>
      <c r="BA35" s="5"/>
      <c r="BB35" s="60"/>
      <c r="BC35" s="61"/>
      <c r="BD35" s="61"/>
      <c r="BE35" s="61"/>
      <c r="BF35" s="61"/>
      <c r="BG35" s="61"/>
      <c r="BH35" s="7"/>
      <c r="BI35" s="7"/>
      <c r="BJ35" s="7"/>
      <c r="BK35" s="7"/>
      <c r="BL35" s="7"/>
      <c r="BM35" s="7"/>
      <c r="BN35" s="7"/>
      <c r="BO35" s="7"/>
      <c r="BP35" s="7"/>
      <c r="BQ35" s="7"/>
      <c r="BR35" s="7"/>
      <c r="BS35" s="7"/>
      <c r="BT35" s="7"/>
      <c r="BU35" s="7"/>
      <c r="BV35" s="7"/>
      <c r="BW35" s="7"/>
      <c r="BX35" s="7"/>
      <c r="BY35" s="7"/>
      <c r="BZ35" s="7"/>
      <c r="CA35" s="7"/>
    </row>
    <row r="36" ht="26.25" customHeight="1">
      <c r="A36" s="2"/>
      <c r="B36" s="65"/>
      <c r="C36" s="48"/>
      <c r="D36" s="48"/>
      <c r="E36" s="66"/>
      <c r="F36" s="67"/>
      <c r="G36" s="67"/>
      <c r="H36" s="65"/>
      <c r="I36" s="68"/>
      <c r="J36" s="68"/>
      <c r="K36" s="68"/>
      <c r="L36" s="68"/>
      <c r="M36" s="68"/>
      <c r="N36" s="68"/>
      <c r="O36" s="68"/>
      <c r="P36" s="68"/>
      <c r="Q36" s="68"/>
      <c r="R36" s="68"/>
      <c r="S36" s="68"/>
      <c r="T36" s="68"/>
      <c r="U36" s="68"/>
      <c r="V36" s="68"/>
      <c r="W36" s="68"/>
      <c r="X36" s="68"/>
      <c r="Y36" s="68"/>
      <c r="Z36" s="68"/>
      <c r="AA36" s="68"/>
      <c r="AB36" s="68"/>
      <c r="AC36" s="70"/>
      <c r="AD36" s="70"/>
      <c r="AE36" s="70"/>
      <c r="AF36" s="70"/>
      <c r="AG36" s="70"/>
      <c r="AH36" s="70"/>
      <c r="AI36" s="70"/>
      <c r="AJ36" s="70"/>
      <c r="AK36" s="70"/>
      <c r="AL36" s="70"/>
      <c r="AM36" s="70"/>
      <c r="AN36" s="70"/>
      <c r="AO36" s="70"/>
      <c r="AP36" s="70"/>
      <c r="AQ36" s="70"/>
      <c r="AR36" s="70"/>
      <c r="AS36" s="70"/>
      <c r="AT36" s="70"/>
      <c r="AU36" s="70"/>
      <c r="AV36" s="70"/>
      <c r="AW36" s="5"/>
      <c r="AX36" s="5"/>
      <c r="AY36" s="5"/>
      <c r="AZ36" s="5"/>
      <c r="BA36" s="5"/>
      <c r="BB36" s="2"/>
      <c r="BC36" s="6"/>
      <c r="BD36" s="6"/>
      <c r="BE36" s="6"/>
      <c r="BF36" s="6"/>
      <c r="BG36" s="6"/>
      <c r="BH36" s="7"/>
      <c r="BI36" s="7"/>
      <c r="BJ36" s="7"/>
      <c r="BK36" s="7"/>
      <c r="BL36" s="7"/>
      <c r="BM36" s="7"/>
      <c r="BN36" s="7"/>
      <c r="BO36" s="7"/>
      <c r="BP36" s="7"/>
      <c r="BQ36" s="7"/>
      <c r="BR36" s="7"/>
      <c r="BS36" s="7"/>
      <c r="BT36" s="7"/>
      <c r="BU36" s="7"/>
      <c r="BV36" s="7"/>
      <c r="BW36" s="7"/>
      <c r="BX36" s="7"/>
      <c r="BY36" s="7"/>
      <c r="BZ36" s="7"/>
      <c r="CA36" s="7"/>
    </row>
    <row r="37" ht="33.75" customHeight="1">
      <c r="A37" s="72"/>
      <c r="B37" s="112" t="s">
        <v>64</v>
      </c>
      <c r="C37" s="74"/>
      <c r="D37" s="75"/>
      <c r="E37" s="113" t="str">
        <f>((sum(E33:E35)-E38)/E38)</f>
        <v>#DIV/0!</v>
      </c>
      <c r="F37" s="75"/>
      <c r="G37" s="75"/>
      <c r="H37" s="75"/>
      <c r="I37" s="114"/>
      <c r="J37" s="114"/>
      <c r="K37" s="114"/>
      <c r="L37" s="114"/>
      <c r="M37" s="114"/>
      <c r="N37" s="113">
        <f>((sum(N33:N35)-N38)/N38)</f>
        <v>0.213098166</v>
      </c>
      <c r="O37" s="114"/>
      <c r="P37" s="114"/>
      <c r="Q37" s="114"/>
      <c r="R37" s="114"/>
      <c r="S37" s="114"/>
      <c r="T37" s="114"/>
      <c r="U37" s="114"/>
      <c r="V37" s="114"/>
      <c r="W37" s="114"/>
      <c r="X37" s="114"/>
      <c r="Y37" s="114"/>
      <c r="Z37" s="114"/>
      <c r="AA37" s="114"/>
      <c r="AB37" s="114"/>
      <c r="AC37" s="82"/>
      <c r="AD37" s="82"/>
      <c r="AE37" s="82"/>
      <c r="AF37" s="82"/>
      <c r="AG37" s="82"/>
      <c r="AH37" s="82"/>
      <c r="AI37" s="82"/>
      <c r="AJ37" s="82"/>
      <c r="AK37" s="82"/>
      <c r="AL37" s="82"/>
      <c r="AM37" s="82"/>
      <c r="AN37" s="82"/>
      <c r="AO37" s="82"/>
      <c r="AP37" s="82"/>
      <c r="AQ37" s="82"/>
      <c r="AR37" s="82"/>
      <c r="AS37" s="82"/>
      <c r="AT37" s="82"/>
      <c r="AU37" s="82"/>
      <c r="AV37" s="82"/>
      <c r="AW37" s="5"/>
      <c r="AX37" s="5"/>
      <c r="AY37" s="5"/>
      <c r="AZ37" s="5"/>
      <c r="BA37" s="5"/>
      <c r="BB37" s="5"/>
      <c r="BC37" s="72"/>
      <c r="BD37" s="83"/>
      <c r="BE37" s="83"/>
      <c r="BF37" s="83"/>
      <c r="BG37" s="83"/>
      <c r="BH37" s="83"/>
      <c r="BI37" s="84"/>
      <c r="BJ37" s="84"/>
      <c r="BK37" s="84"/>
      <c r="BL37" s="84"/>
      <c r="BM37" s="84"/>
      <c r="BN37" s="84"/>
      <c r="BO37" s="84"/>
      <c r="BP37" s="84"/>
      <c r="BQ37" s="84"/>
      <c r="BR37" s="84"/>
      <c r="BS37" s="84"/>
      <c r="BT37" s="84"/>
      <c r="BU37" s="84"/>
      <c r="BV37" s="84"/>
      <c r="BW37" s="84"/>
      <c r="BX37" s="84"/>
      <c r="BY37" s="84"/>
      <c r="BZ37" s="84"/>
      <c r="CA37" s="84"/>
    </row>
    <row r="38" ht="33.75" customHeight="1">
      <c r="A38" s="72"/>
      <c r="B38" s="73" t="s">
        <v>51</v>
      </c>
      <c r="C38" s="74"/>
      <c r="D38" s="75"/>
      <c r="E38" s="75"/>
      <c r="F38" s="75"/>
      <c r="G38" s="75"/>
      <c r="H38" s="75"/>
      <c r="I38" s="75"/>
      <c r="J38" s="75"/>
      <c r="K38" s="75"/>
      <c r="L38" s="81"/>
      <c r="M38" s="81"/>
      <c r="N38" s="118">
        <v>71155.0</v>
      </c>
      <c r="O38" s="115"/>
      <c r="P38" s="112">
        <v>2.2</v>
      </c>
      <c r="Q38" s="75"/>
      <c r="R38" s="81"/>
      <c r="S38" s="75"/>
      <c r="T38" s="81"/>
      <c r="U38" s="81"/>
      <c r="V38" s="81"/>
      <c r="W38" s="81"/>
      <c r="X38" s="75"/>
      <c r="Y38" s="81"/>
      <c r="Z38" s="81"/>
      <c r="AA38" s="81"/>
      <c r="AB38" s="81"/>
      <c r="AC38" s="82"/>
      <c r="AD38" s="82"/>
      <c r="AE38" s="82"/>
      <c r="AF38" s="82"/>
      <c r="AG38" s="82"/>
      <c r="AH38" s="82"/>
      <c r="AI38" s="82"/>
      <c r="AJ38" s="82"/>
      <c r="AK38" s="82"/>
      <c r="AL38" s="82"/>
      <c r="AM38" s="82"/>
      <c r="AN38" s="82"/>
      <c r="AO38" s="82"/>
      <c r="AP38" s="82"/>
      <c r="AQ38" s="82"/>
      <c r="AR38" s="82"/>
      <c r="AS38" s="82"/>
      <c r="AT38" s="82"/>
      <c r="AU38" s="82"/>
      <c r="AV38" s="82"/>
      <c r="AW38" s="5"/>
      <c r="AX38" s="5"/>
      <c r="AY38" s="5"/>
      <c r="AZ38" s="5"/>
      <c r="BA38" s="5"/>
      <c r="BB38" s="72"/>
      <c r="BC38" s="83"/>
      <c r="BD38" s="83"/>
      <c r="BE38" s="83"/>
      <c r="BF38" s="83"/>
      <c r="BG38" s="83"/>
      <c r="BH38" s="84"/>
      <c r="BI38" s="84"/>
      <c r="BJ38" s="84"/>
      <c r="BK38" s="84"/>
      <c r="BL38" s="84"/>
      <c r="BM38" s="84"/>
      <c r="BN38" s="84"/>
      <c r="BO38" s="84"/>
      <c r="BP38" s="84"/>
      <c r="BQ38" s="84"/>
      <c r="BR38" s="84"/>
      <c r="BS38" s="84"/>
      <c r="BT38" s="84"/>
      <c r="BU38" s="84"/>
      <c r="BV38" s="84"/>
      <c r="BW38" s="84"/>
      <c r="BX38" s="84"/>
      <c r="BY38" s="84"/>
      <c r="BZ38" s="84"/>
      <c r="CA38" s="84"/>
    </row>
    <row r="39" ht="15.75" customHeight="1">
      <c r="A39" s="98"/>
      <c r="B39" s="98"/>
      <c r="C39" s="98"/>
      <c r="D39" s="98"/>
      <c r="E39" s="98"/>
      <c r="F39" s="98"/>
      <c r="G39" s="98"/>
      <c r="H39" s="98"/>
      <c r="I39" s="99"/>
      <c r="J39" s="99"/>
      <c r="K39" s="99"/>
      <c r="L39" s="99"/>
      <c r="M39" s="14"/>
      <c r="N39" s="14"/>
      <c r="O39" s="14"/>
      <c r="P39" s="14"/>
      <c r="Q39" s="10"/>
      <c r="R39" s="14"/>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5"/>
      <c r="AX39" s="5"/>
      <c r="AY39" s="5"/>
      <c r="AZ39" s="5"/>
      <c r="BA39" s="5"/>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row>
    <row r="40" ht="46.5" customHeight="1">
      <c r="A40" s="2"/>
      <c r="B40" s="33" t="s">
        <v>67</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82"/>
      <c r="AU40" s="82"/>
      <c r="AV40" s="82"/>
      <c r="AW40" s="5"/>
      <c r="AX40" s="5"/>
      <c r="AY40" s="5"/>
      <c r="AZ40" s="5"/>
      <c r="BA40" s="5"/>
      <c r="BB40" s="31"/>
      <c r="BC40" s="32"/>
      <c r="BD40" s="32"/>
      <c r="BE40" s="32"/>
      <c r="BF40" s="32"/>
      <c r="BG40" s="32"/>
      <c r="BH40" s="7"/>
      <c r="BI40" s="7"/>
      <c r="BJ40" s="7"/>
      <c r="BK40" s="7"/>
      <c r="BL40" s="7"/>
      <c r="BM40" s="7"/>
      <c r="BN40" s="7"/>
      <c r="BO40" s="7"/>
      <c r="BP40" s="7"/>
      <c r="BQ40" s="7"/>
      <c r="BR40" s="7"/>
      <c r="BS40" s="7"/>
      <c r="BT40" s="7"/>
      <c r="BU40" s="7"/>
      <c r="BV40" s="7"/>
      <c r="BW40" s="7"/>
      <c r="BX40" s="7"/>
      <c r="BY40" s="7"/>
      <c r="BZ40" s="7"/>
      <c r="CA40" s="7"/>
    </row>
    <row r="41" ht="30.0" customHeight="1">
      <c r="A41" s="2"/>
      <c r="B41" s="38" t="s">
        <v>14</v>
      </c>
      <c r="C41" s="39" t="s">
        <v>15</v>
      </c>
      <c r="D41" s="40" t="s">
        <v>16</v>
      </c>
      <c r="E41" s="40" t="s">
        <v>17</v>
      </c>
      <c r="F41" s="40" t="s">
        <v>58</v>
      </c>
      <c r="G41" s="40" t="s">
        <v>20</v>
      </c>
      <c r="H41" s="40" t="s">
        <v>58</v>
      </c>
      <c r="I41" s="40" t="s">
        <v>16</v>
      </c>
      <c r="J41" s="40" t="s">
        <v>17</v>
      </c>
      <c r="K41" s="40" t="s">
        <v>19</v>
      </c>
      <c r="L41" s="40" t="s">
        <v>20</v>
      </c>
      <c r="M41" s="40" t="s">
        <v>21</v>
      </c>
      <c r="N41" s="40" t="s">
        <v>22</v>
      </c>
      <c r="O41" s="40" t="s">
        <v>19</v>
      </c>
      <c r="P41" s="40" t="s">
        <v>24</v>
      </c>
      <c r="Q41" s="41" t="s">
        <v>27</v>
      </c>
      <c r="R41" s="40" t="s">
        <v>19</v>
      </c>
      <c r="S41" s="41" t="s">
        <v>59</v>
      </c>
      <c r="T41" s="41" t="s">
        <v>30</v>
      </c>
      <c r="U41" s="40" t="s">
        <v>19</v>
      </c>
      <c r="V41" s="41" t="s">
        <v>31</v>
      </c>
      <c r="W41" s="41" t="s">
        <v>32</v>
      </c>
      <c r="X41" s="40" t="s">
        <v>19</v>
      </c>
      <c r="Y41" s="41" t="s">
        <v>33</v>
      </c>
      <c r="Z41" s="41" t="s">
        <v>34</v>
      </c>
      <c r="AA41" s="40" t="s">
        <v>19</v>
      </c>
      <c r="AB41" s="41" t="s">
        <v>35</v>
      </c>
      <c r="AC41" s="42" t="s">
        <v>36</v>
      </c>
      <c r="AD41" s="40" t="s">
        <v>19</v>
      </c>
      <c r="AE41" s="42" t="s">
        <v>37</v>
      </c>
      <c r="AF41" s="41" t="s">
        <v>60</v>
      </c>
      <c r="AG41" s="42" t="s">
        <v>38</v>
      </c>
      <c r="AH41" s="40" t="s">
        <v>19</v>
      </c>
      <c r="AI41" s="42" t="s">
        <v>39</v>
      </c>
      <c r="AJ41" s="41" t="s">
        <v>61</v>
      </c>
      <c r="AK41" s="42" t="s">
        <v>40</v>
      </c>
      <c r="AL41" s="40" t="s">
        <v>19</v>
      </c>
      <c r="AM41" s="42" t="s">
        <v>41</v>
      </c>
      <c r="AN41" s="42" t="s">
        <v>42</v>
      </c>
      <c r="AO41" s="40" t="s">
        <v>19</v>
      </c>
      <c r="AP41" s="42" t="s">
        <v>43</v>
      </c>
      <c r="AQ41" s="42" t="s">
        <v>44</v>
      </c>
      <c r="AR41" s="40" t="s">
        <v>19</v>
      </c>
      <c r="AS41" s="42" t="s">
        <v>45</v>
      </c>
      <c r="AT41" s="42" t="s">
        <v>46</v>
      </c>
      <c r="AU41" s="40" t="s">
        <v>19</v>
      </c>
      <c r="AV41" s="42" t="s">
        <v>47</v>
      </c>
      <c r="AW41" s="5"/>
      <c r="AX41" s="5"/>
      <c r="AY41" s="5"/>
      <c r="AZ41" s="5"/>
      <c r="BA41" s="5"/>
      <c r="BB41" s="9"/>
      <c r="BC41" s="46"/>
      <c r="BD41" s="46"/>
      <c r="BE41" s="46"/>
      <c r="BF41" s="46"/>
      <c r="BG41" s="46"/>
      <c r="BH41" s="47"/>
      <c r="BI41" s="48"/>
      <c r="BJ41" s="48"/>
      <c r="BO41" s="7"/>
      <c r="BP41" s="7"/>
      <c r="BQ41" s="7"/>
      <c r="BR41" s="7"/>
      <c r="BS41" s="7"/>
      <c r="BT41" s="7"/>
      <c r="BU41" s="7"/>
      <c r="BV41" s="7"/>
      <c r="BW41" s="7"/>
      <c r="BX41" s="7"/>
      <c r="BY41" s="7"/>
      <c r="BZ41" s="7"/>
      <c r="CA41" s="7"/>
    </row>
    <row r="42" ht="30.0" customHeight="1">
      <c r="A42" s="2"/>
      <c r="C42" s="28"/>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5"/>
      <c r="AX42" s="5"/>
      <c r="AY42" s="5"/>
      <c r="AZ42" s="5"/>
      <c r="BA42" s="5"/>
      <c r="BB42" s="50"/>
      <c r="BC42" s="51"/>
      <c r="BD42" s="51"/>
      <c r="BE42" s="51"/>
      <c r="BF42" s="51"/>
      <c r="BG42" s="51"/>
      <c r="BH42" s="52">
        <v>18.0</v>
      </c>
      <c r="BI42" s="52">
        <v>25.0</v>
      </c>
      <c r="BJ42" s="52">
        <v>2.0</v>
      </c>
      <c r="BK42" s="52">
        <v>9.0</v>
      </c>
      <c r="BL42" s="52">
        <v>16.0</v>
      </c>
      <c r="BM42" s="52">
        <v>23.0</v>
      </c>
      <c r="BN42" s="52">
        <v>30.0</v>
      </c>
      <c r="BO42" s="7"/>
      <c r="BP42" s="7"/>
      <c r="BQ42" s="7"/>
      <c r="BR42" s="7"/>
      <c r="BS42" s="7"/>
      <c r="BT42" s="7"/>
      <c r="BU42" s="7"/>
      <c r="BV42" s="7"/>
      <c r="BW42" s="7"/>
      <c r="BX42" s="7"/>
      <c r="BY42" s="7"/>
      <c r="BZ42" s="7"/>
      <c r="CA42" s="7"/>
    </row>
    <row r="43" ht="51.75" customHeight="1">
      <c r="A43" s="2"/>
      <c r="B43" s="53" t="s">
        <v>62</v>
      </c>
      <c r="C43" s="54" t="s">
        <v>15</v>
      </c>
      <c r="D43" s="95"/>
      <c r="E43" s="95"/>
      <c r="F43" s="105"/>
      <c r="G43" s="105"/>
      <c r="H43" s="106"/>
      <c r="I43" s="55">
        <v>24027.0</v>
      </c>
      <c r="J43" s="55">
        <v>3997.0</v>
      </c>
      <c r="K43" s="56">
        <v>0.1664</v>
      </c>
      <c r="L43" s="57">
        <v>1.42</v>
      </c>
      <c r="M43" s="55">
        <v>24027.0</v>
      </c>
      <c r="N43" s="55">
        <v>24844.0</v>
      </c>
      <c r="O43" s="56">
        <v>1.034</v>
      </c>
      <c r="P43" s="57">
        <v>5.71</v>
      </c>
      <c r="Q43" s="64">
        <v>3697.0</v>
      </c>
      <c r="R43" s="107">
        <v>0.1539</v>
      </c>
      <c r="S43" s="58">
        <v>1.92</v>
      </c>
      <c r="T43" s="64">
        <v>3519.0</v>
      </c>
      <c r="U43" s="107">
        <v>0.1465</v>
      </c>
      <c r="V43" s="58">
        <v>1.95</v>
      </c>
      <c r="W43" s="64">
        <v>3698.0</v>
      </c>
      <c r="X43" s="107">
        <v>0.1539</v>
      </c>
      <c r="Y43" s="58">
        <v>1.81</v>
      </c>
      <c r="Z43" s="64">
        <v>10040.0</v>
      </c>
      <c r="AA43" s="107">
        <v>0.4179</v>
      </c>
      <c r="AB43" s="58">
        <v>1.74</v>
      </c>
      <c r="AC43" s="64">
        <v>6625.0</v>
      </c>
      <c r="AD43" s="107">
        <v>0.2757</v>
      </c>
      <c r="AE43" s="58">
        <v>1.94</v>
      </c>
      <c r="AF43" s="64">
        <v>24027.0</v>
      </c>
      <c r="AG43" s="64">
        <v>4291.0</v>
      </c>
      <c r="AH43" s="56">
        <f>AG43/AF43</f>
        <v>0.1785907521</v>
      </c>
      <c r="AI43" s="57">
        <f>8334/AG43</f>
        <v>1.942204614</v>
      </c>
      <c r="AJ43" s="64">
        <v>24027.0</v>
      </c>
      <c r="AK43" s="64">
        <v>4583.0</v>
      </c>
      <c r="AL43" s="107">
        <v>0.1907</v>
      </c>
      <c r="AM43" s="58">
        <v>2.0</v>
      </c>
      <c r="AN43" s="64">
        <v>4763.0</v>
      </c>
      <c r="AO43" s="107">
        <v>0.1982</v>
      </c>
      <c r="AP43" s="58">
        <v>1.75</v>
      </c>
      <c r="AQ43" s="64">
        <v>4876.0</v>
      </c>
      <c r="AR43" s="107">
        <v>0.2029</v>
      </c>
      <c r="AS43" s="58">
        <v>1.71</v>
      </c>
      <c r="AT43" s="64">
        <v>4410.0</v>
      </c>
      <c r="AU43" s="107">
        <v>0.1835</v>
      </c>
      <c r="AV43" s="58">
        <v>1.89</v>
      </c>
      <c r="AW43" s="5"/>
      <c r="AX43" s="5"/>
      <c r="AY43" s="5"/>
      <c r="AZ43" s="5"/>
      <c r="BA43" s="5"/>
      <c r="BB43" s="60"/>
      <c r="BC43" s="61"/>
      <c r="BD43" s="61"/>
      <c r="BE43" s="61"/>
      <c r="BF43" s="61"/>
      <c r="BG43" s="61"/>
      <c r="BH43" s="62"/>
      <c r="BI43" s="62"/>
      <c r="BJ43" s="62"/>
      <c r="BK43" s="62"/>
      <c r="BL43" s="62"/>
      <c r="BM43" s="62"/>
      <c r="BN43" s="62"/>
      <c r="BO43" s="62"/>
      <c r="BP43" s="62"/>
      <c r="BQ43" s="62"/>
      <c r="BR43" s="62"/>
      <c r="BS43" s="62"/>
      <c r="BT43" s="62"/>
      <c r="BU43" s="62"/>
      <c r="BV43" s="62"/>
      <c r="BW43" s="62"/>
      <c r="BX43" s="62"/>
      <c r="BY43" s="62"/>
      <c r="BZ43" s="62"/>
      <c r="CA43" s="62"/>
    </row>
    <row r="44" ht="51.75" customHeight="1">
      <c r="A44" s="2"/>
      <c r="B44" s="108"/>
      <c r="C44" s="54" t="s">
        <v>68</v>
      </c>
      <c r="D44" s="95"/>
      <c r="E44" s="95"/>
      <c r="F44" s="105"/>
      <c r="G44" s="105"/>
      <c r="H44" s="106"/>
      <c r="I44" s="55">
        <v>86799.0</v>
      </c>
      <c r="J44" s="55">
        <v>4641.0</v>
      </c>
      <c r="K44" s="56">
        <v>0.0535</v>
      </c>
      <c r="L44" s="57">
        <v>2.01</v>
      </c>
      <c r="M44" s="55">
        <v>86799.0</v>
      </c>
      <c r="N44" s="55">
        <v>3346.0</v>
      </c>
      <c r="O44" s="56">
        <v>0.0385</v>
      </c>
      <c r="P44" s="57">
        <v>1.97</v>
      </c>
      <c r="Q44" s="64">
        <v>3238.0</v>
      </c>
      <c r="R44" s="107">
        <v>0.0373</v>
      </c>
      <c r="S44" s="58">
        <v>1.81</v>
      </c>
      <c r="T44" s="64">
        <v>2936.0</v>
      </c>
      <c r="U44" s="107">
        <v>0.0338</v>
      </c>
      <c r="V44" s="58">
        <v>2.0</v>
      </c>
      <c r="W44" s="64">
        <v>2996.0</v>
      </c>
      <c r="X44" s="107">
        <v>0.0345</v>
      </c>
      <c r="Y44" s="58">
        <v>1.91</v>
      </c>
      <c r="Z44" s="109"/>
      <c r="AA44" s="48"/>
      <c r="AB44" s="66"/>
      <c r="AC44" s="110"/>
      <c r="AD44" s="110"/>
      <c r="AE44" s="110"/>
      <c r="AF44" s="110"/>
      <c r="AG44" s="110"/>
      <c r="AH44" s="110"/>
      <c r="AI44" s="110"/>
      <c r="AJ44" s="110"/>
      <c r="AK44" s="110"/>
      <c r="AL44" s="110"/>
      <c r="AM44" s="110"/>
      <c r="AN44" s="110"/>
      <c r="AO44" s="110"/>
      <c r="AP44" s="110"/>
      <c r="AQ44" s="110"/>
      <c r="AR44" s="110"/>
      <c r="AS44" s="110"/>
      <c r="AT44" s="110"/>
      <c r="AU44" s="110"/>
      <c r="AV44" s="110"/>
      <c r="AW44" s="5"/>
      <c r="AX44" s="5"/>
      <c r="AY44" s="5"/>
      <c r="AZ44" s="5"/>
      <c r="BA44" s="5"/>
      <c r="BB44" s="60"/>
      <c r="BC44" s="61"/>
      <c r="BD44" s="61"/>
      <c r="BE44" s="61"/>
      <c r="BF44" s="61"/>
      <c r="BG44" s="61"/>
      <c r="BH44" s="62"/>
      <c r="BI44" s="62"/>
      <c r="BJ44" s="62"/>
      <c r="BK44" s="62"/>
      <c r="BL44" s="62"/>
      <c r="BM44" s="62"/>
      <c r="BN44" s="62"/>
      <c r="BO44" s="62"/>
      <c r="BP44" s="62"/>
      <c r="BQ44" s="62"/>
      <c r="BR44" s="62"/>
      <c r="BS44" s="62"/>
      <c r="BT44" s="62"/>
      <c r="BU44" s="62"/>
      <c r="BV44" s="62"/>
      <c r="BW44" s="62"/>
      <c r="BX44" s="62"/>
      <c r="BY44" s="62"/>
      <c r="BZ44" s="62"/>
      <c r="CA44" s="62"/>
    </row>
    <row r="45" ht="51.75" customHeight="1">
      <c r="A45" s="2"/>
      <c r="B45" s="63"/>
      <c r="C45" s="54" t="s">
        <v>49</v>
      </c>
      <c r="D45" s="95"/>
      <c r="E45" s="106"/>
      <c r="F45" s="111"/>
      <c r="G45" s="111"/>
      <c r="H45" s="106"/>
      <c r="I45" s="55">
        <v>12254.0</v>
      </c>
      <c r="J45" s="55">
        <v>5582.0</v>
      </c>
      <c r="K45" s="56">
        <v>0.4555</v>
      </c>
      <c r="L45" s="57">
        <v>3.25</v>
      </c>
      <c r="M45" s="55">
        <v>12254.0</v>
      </c>
      <c r="N45" s="55">
        <v>2585.0</v>
      </c>
      <c r="O45" s="56">
        <v>0.211</v>
      </c>
      <c r="P45" s="57">
        <v>3.23</v>
      </c>
      <c r="Q45" s="64">
        <v>2421.0</v>
      </c>
      <c r="R45" s="107">
        <v>0.1976</v>
      </c>
      <c r="S45" s="58">
        <v>3.39</v>
      </c>
      <c r="T45" s="64">
        <v>2239.0</v>
      </c>
      <c r="U45" s="107">
        <v>0.1827</v>
      </c>
      <c r="V45" s="58">
        <v>3.68</v>
      </c>
      <c r="W45" s="64">
        <v>2159.0</v>
      </c>
      <c r="X45" s="107">
        <v>0.1762</v>
      </c>
      <c r="Y45" s="58">
        <v>3.72</v>
      </c>
      <c r="Z45" s="64">
        <v>5017.0</v>
      </c>
      <c r="AA45" s="107">
        <v>0.4094</v>
      </c>
      <c r="AB45" s="58">
        <v>4.42</v>
      </c>
      <c r="AC45" s="64">
        <v>5126.0</v>
      </c>
      <c r="AD45" s="107">
        <v>0.4183</v>
      </c>
      <c r="AE45" s="58">
        <v>2.51</v>
      </c>
      <c r="AF45" s="64">
        <v>12254.0</v>
      </c>
      <c r="AG45" s="64">
        <v>3215.0</v>
      </c>
      <c r="AH45" s="56">
        <f>AG45/AF45</f>
        <v>0.2623633099</v>
      </c>
      <c r="AI45" s="57">
        <f>10611/AG45</f>
        <v>3.300466563</v>
      </c>
      <c r="AJ45" s="64">
        <v>12254.0</v>
      </c>
      <c r="AK45" s="64">
        <v>3963.0</v>
      </c>
      <c r="AL45" s="107">
        <v>0.3234</v>
      </c>
      <c r="AM45" s="58">
        <v>3.14</v>
      </c>
      <c r="AN45" s="64">
        <v>3529.0</v>
      </c>
      <c r="AO45" s="107">
        <v>0.288</v>
      </c>
      <c r="AP45" s="58">
        <v>2.95</v>
      </c>
      <c r="AQ45" s="64">
        <v>3864.0</v>
      </c>
      <c r="AR45" s="107">
        <v>0.3153</v>
      </c>
      <c r="AS45" s="58">
        <v>2.71</v>
      </c>
      <c r="AT45" s="64">
        <v>4231.0</v>
      </c>
      <c r="AU45" s="107">
        <v>0.3453</v>
      </c>
      <c r="AV45" s="58">
        <v>2.47</v>
      </c>
      <c r="AW45" s="5"/>
      <c r="AX45" s="5"/>
      <c r="AY45" s="5"/>
      <c r="AZ45" s="5"/>
      <c r="BA45" s="5"/>
      <c r="BB45" s="60"/>
      <c r="BC45" s="61"/>
      <c r="BD45" s="61"/>
      <c r="BE45" s="61"/>
      <c r="BF45" s="61"/>
      <c r="BG45" s="61"/>
      <c r="BH45" s="7"/>
      <c r="BI45" s="7"/>
      <c r="BJ45" s="7"/>
      <c r="BK45" s="7"/>
      <c r="BL45" s="7"/>
      <c r="BM45" s="7"/>
      <c r="BN45" s="7"/>
      <c r="BO45" s="7"/>
      <c r="BP45" s="7"/>
      <c r="BQ45" s="7"/>
      <c r="BR45" s="7"/>
      <c r="BS45" s="7"/>
      <c r="BT45" s="7"/>
      <c r="BU45" s="7"/>
      <c r="BV45" s="7"/>
      <c r="BW45" s="7"/>
      <c r="BX45" s="7"/>
      <c r="BY45" s="7"/>
      <c r="BZ45" s="7"/>
      <c r="CA45" s="7"/>
    </row>
    <row r="46" ht="26.25" customHeight="1">
      <c r="A46" s="2"/>
      <c r="B46" s="65"/>
      <c r="C46" s="48"/>
      <c r="D46" s="48"/>
      <c r="E46" s="66"/>
      <c r="F46" s="67"/>
      <c r="G46" s="67"/>
      <c r="H46" s="65"/>
      <c r="I46" s="68"/>
      <c r="J46" s="68"/>
      <c r="K46" s="68"/>
      <c r="L46" s="68"/>
      <c r="M46" s="68"/>
      <c r="N46" s="68"/>
      <c r="O46" s="68"/>
      <c r="P46" s="68"/>
      <c r="Q46" s="68"/>
      <c r="R46" s="68"/>
      <c r="S46" s="68"/>
      <c r="T46" s="68"/>
      <c r="U46" s="68"/>
      <c r="V46" s="68"/>
      <c r="W46" s="68"/>
      <c r="X46" s="68"/>
      <c r="Y46" s="68"/>
      <c r="Z46" s="68"/>
      <c r="AA46" s="68"/>
      <c r="AB46" s="68"/>
      <c r="AC46" s="70"/>
      <c r="AD46" s="70"/>
      <c r="AE46" s="70"/>
      <c r="AF46" s="70"/>
      <c r="AG46" s="70"/>
      <c r="AH46" s="70"/>
      <c r="AI46" s="70"/>
      <c r="AJ46" s="70"/>
      <c r="AK46" s="70"/>
      <c r="AL46" s="70"/>
      <c r="AM46" s="70"/>
      <c r="AN46" s="70"/>
      <c r="AO46" s="70"/>
      <c r="AP46" s="70"/>
      <c r="AQ46" s="70"/>
      <c r="AR46" s="70"/>
      <c r="AS46" s="70"/>
      <c r="AT46" s="70"/>
      <c r="AU46" s="70"/>
      <c r="AV46" s="70"/>
      <c r="AW46" s="5"/>
      <c r="AX46" s="5"/>
      <c r="AY46" s="5"/>
      <c r="AZ46" s="5"/>
      <c r="BA46" s="5"/>
      <c r="BB46" s="2"/>
      <c r="BC46" s="6"/>
      <c r="BD46" s="6"/>
      <c r="BE46" s="6"/>
      <c r="BF46" s="6"/>
      <c r="BG46" s="6"/>
      <c r="BH46" s="7"/>
      <c r="BI46" s="7"/>
      <c r="BJ46" s="7"/>
      <c r="BK46" s="7"/>
      <c r="BL46" s="7"/>
      <c r="BM46" s="7"/>
      <c r="BN46" s="7"/>
      <c r="BO46" s="7"/>
      <c r="BP46" s="7"/>
      <c r="BQ46" s="7"/>
      <c r="BR46" s="7"/>
      <c r="BS46" s="7"/>
      <c r="BT46" s="7"/>
      <c r="BU46" s="7"/>
      <c r="BV46" s="7"/>
      <c r="BW46" s="7"/>
      <c r="BX46" s="7"/>
      <c r="BY46" s="7"/>
      <c r="BZ46" s="7"/>
      <c r="CA46" s="7"/>
    </row>
    <row r="47" ht="33.75" customHeight="1">
      <c r="A47" s="72"/>
      <c r="B47" s="112" t="s">
        <v>64</v>
      </c>
      <c r="C47" s="74"/>
      <c r="D47" s="75"/>
      <c r="E47" s="113" t="str">
        <f>((sum(E43:E45)-E48)/E48)</f>
        <v>#DIV/0!</v>
      </c>
      <c r="F47" s="75"/>
      <c r="G47" s="75"/>
      <c r="H47" s="75"/>
      <c r="I47" s="114"/>
      <c r="J47" s="114"/>
      <c r="K47" s="114"/>
      <c r="L47" s="114"/>
      <c r="M47" s="114"/>
      <c r="N47" s="113">
        <f>((sum(N43:N45)-N48)/N48)</f>
        <v>0.1396459784</v>
      </c>
      <c r="O47" s="114"/>
      <c r="P47" s="114"/>
      <c r="Q47" s="114"/>
      <c r="R47" s="114"/>
      <c r="S47" s="114"/>
      <c r="T47" s="114"/>
      <c r="U47" s="114"/>
      <c r="V47" s="114"/>
      <c r="W47" s="114"/>
      <c r="X47" s="114"/>
      <c r="Y47" s="114"/>
      <c r="Z47" s="114"/>
      <c r="AA47" s="114"/>
      <c r="AB47" s="114"/>
      <c r="AC47" s="82"/>
      <c r="AD47" s="82"/>
      <c r="AE47" s="82"/>
      <c r="AF47" s="82"/>
      <c r="AG47" s="82"/>
      <c r="AH47" s="82"/>
      <c r="AI47" s="82"/>
      <c r="AJ47" s="82"/>
      <c r="AK47" s="82"/>
      <c r="AL47" s="82"/>
      <c r="AM47" s="82"/>
      <c r="AN47" s="82"/>
      <c r="AO47" s="82"/>
      <c r="AP47" s="82"/>
      <c r="AQ47" s="82"/>
      <c r="AR47" s="82"/>
      <c r="AS47" s="82"/>
      <c r="AT47" s="82"/>
      <c r="AU47" s="82"/>
      <c r="AV47" s="82"/>
      <c r="AW47" s="5"/>
      <c r="AX47" s="5"/>
      <c r="AY47" s="5"/>
      <c r="AZ47" s="5"/>
      <c r="BA47" s="5"/>
      <c r="BB47" s="5"/>
      <c r="BC47" s="72"/>
      <c r="BD47" s="83"/>
      <c r="BE47" s="83"/>
      <c r="BF47" s="83"/>
      <c r="BG47" s="83"/>
      <c r="BH47" s="83"/>
      <c r="BI47" s="84"/>
      <c r="BJ47" s="84"/>
      <c r="BK47" s="84"/>
      <c r="BL47" s="84"/>
      <c r="BM47" s="84"/>
      <c r="BN47" s="84"/>
      <c r="BO47" s="84"/>
      <c r="BP47" s="84"/>
      <c r="BQ47" s="84"/>
      <c r="BR47" s="84"/>
      <c r="BS47" s="84"/>
      <c r="BT47" s="84"/>
      <c r="BU47" s="84"/>
      <c r="BV47" s="84"/>
      <c r="BW47" s="84"/>
      <c r="BX47" s="84"/>
      <c r="BY47" s="84"/>
      <c r="BZ47" s="84"/>
      <c r="CA47" s="84"/>
    </row>
    <row r="48" ht="33.75" customHeight="1">
      <c r="A48" s="72"/>
      <c r="B48" s="73" t="s">
        <v>51</v>
      </c>
      <c r="C48" s="74"/>
      <c r="D48" s="75"/>
      <c r="E48" s="75"/>
      <c r="F48" s="75"/>
      <c r="G48" s="75"/>
      <c r="H48" s="75"/>
      <c r="I48" s="75"/>
      <c r="J48" s="75"/>
      <c r="K48" s="75"/>
      <c r="L48" s="81"/>
      <c r="M48" s="81"/>
      <c r="N48" s="118">
        <v>27004.0</v>
      </c>
      <c r="O48" s="115"/>
      <c r="P48" s="115">
        <v>3.05</v>
      </c>
      <c r="Q48" s="81"/>
      <c r="R48" s="81"/>
      <c r="S48" s="81"/>
      <c r="T48" s="81"/>
      <c r="U48" s="81"/>
      <c r="V48" s="81"/>
      <c r="W48" s="81"/>
      <c r="X48" s="81"/>
      <c r="Y48" s="81"/>
      <c r="Z48" s="81"/>
      <c r="AA48" s="81"/>
      <c r="AB48" s="81"/>
      <c r="AC48" s="82"/>
      <c r="AD48" s="82"/>
      <c r="AE48" s="82"/>
      <c r="AF48" s="82"/>
      <c r="AG48" s="82"/>
      <c r="AH48" s="82"/>
      <c r="AI48" s="82"/>
      <c r="AJ48" s="82"/>
      <c r="AK48" s="82"/>
      <c r="AL48" s="82"/>
      <c r="AM48" s="82"/>
      <c r="AN48" s="82"/>
      <c r="AO48" s="82"/>
      <c r="AP48" s="82"/>
      <c r="AQ48" s="82"/>
      <c r="AR48" s="82"/>
      <c r="AS48" s="82"/>
      <c r="AT48" s="82"/>
      <c r="AU48" s="82"/>
      <c r="AV48" s="82"/>
      <c r="AW48" s="5"/>
      <c r="AX48" s="5"/>
      <c r="AY48" s="5"/>
      <c r="AZ48" s="5"/>
      <c r="BA48" s="5"/>
      <c r="BB48" s="72"/>
      <c r="BC48" s="83"/>
      <c r="BD48" s="83"/>
      <c r="BE48" s="83"/>
      <c r="BF48" s="83"/>
      <c r="BG48" s="83"/>
      <c r="BH48" s="84"/>
      <c r="BI48" s="84"/>
      <c r="BJ48" s="84"/>
      <c r="BK48" s="84"/>
      <c r="BL48" s="84"/>
      <c r="BM48" s="84"/>
      <c r="BN48" s="84"/>
      <c r="BO48" s="84"/>
      <c r="BP48" s="84"/>
      <c r="BQ48" s="84"/>
      <c r="BR48" s="84"/>
      <c r="BS48" s="84"/>
      <c r="BT48" s="84"/>
      <c r="BU48" s="84"/>
      <c r="BV48" s="84"/>
      <c r="BW48" s="84"/>
      <c r="BX48" s="84"/>
      <c r="BY48" s="84"/>
      <c r="BZ48" s="84"/>
      <c r="CA48" s="84"/>
    </row>
    <row r="49" ht="15.75" customHeight="1">
      <c r="A49" s="98"/>
      <c r="B49" s="98"/>
      <c r="C49" s="98"/>
      <c r="D49" s="98"/>
      <c r="E49" s="98"/>
      <c r="F49" s="98"/>
      <c r="G49" s="98"/>
      <c r="H49" s="98"/>
      <c r="I49" s="99"/>
      <c r="J49" s="99"/>
      <c r="K49" s="99"/>
      <c r="L49" s="99"/>
      <c r="M49" s="14"/>
      <c r="N49" s="14"/>
      <c r="O49" s="14"/>
      <c r="P49" s="14"/>
      <c r="Q49" s="10"/>
      <c r="R49" s="14"/>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5"/>
      <c r="AX49" s="5"/>
      <c r="AY49" s="5"/>
      <c r="AZ49" s="5"/>
      <c r="BA49" s="5"/>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row>
    <row r="50" ht="46.5" customHeight="1">
      <c r="A50" s="2"/>
      <c r="B50" s="33" t="s">
        <v>69</v>
      </c>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82"/>
      <c r="AU50" s="82"/>
      <c r="AV50" s="82"/>
      <c r="AW50" s="5"/>
      <c r="AX50" s="5"/>
      <c r="AY50" s="5"/>
      <c r="AZ50" s="5"/>
      <c r="BA50" s="5"/>
      <c r="BB50" s="31"/>
      <c r="BC50" s="32"/>
      <c r="BD50" s="32"/>
      <c r="BE50" s="32"/>
      <c r="BF50" s="32"/>
      <c r="BG50" s="32"/>
      <c r="BH50" s="7"/>
      <c r="BI50" s="7"/>
      <c r="BJ50" s="7"/>
      <c r="BK50" s="7"/>
      <c r="BL50" s="7"/>
      <c r="BM50" s="7"/>
      <c r="BN50" s="7"/>
      <c r="BO50" s="7"/>
      <c r="BP50" s="7"/>
      <c r="BQ50" s="7"/>
      <c r="BR50" s="7"/>
      <c r="BS50" s="7"/>
      <c r="BT50" s="7"/>
      <c r="BU50" s="7"/>
      <c r="BV50" s="7"/>
      <c r="BW50" s="7"/>
      <c r="BX50" s="7"/>
      <c r="BY50" s="7"/>
      <c r="BZ50" s="7"/>
      <c r="CA50" s="7"/>
    </row>
    <row r="51" ht="30.0" customHeight="1">
      <c r="A51" s="2"/>
      <c r="B51" s="38" t="s">
        <v>14</v>
      </c>
      <c r="C51" s="39" t="s">
        <v>15</v>
      </c>
      <c r="D51" s="40" t="s">
        <v>16</v>
      </c>
      <c r="E51" s="40" t="s">
        <v>17</v>
      </c>
      <c r="F51" s="40" t="s">
        <v>58</v>
      </c>
      <c r="G51" s="40" t="s">
        <v>20</v>
      </c>
      <c r="H51" s="40" t="s">
        <v>58</v>
      </c>
      <c r="I51" s="40" t="s">
        <v>16</v>
      </c>
      <c r="J51" s="40" t="s">
        <v>17</v>
      </c>
      <c r="K51" s="40" t="s">
        <v>19</v>
      </c>
      <c r="L51" s="40" t="s">
        <v>20</v>
      </c>
      <c r="M51" s="40" t="s">
        <v>21</v>
      </c>
      <c r="N51" s="40" t="s">
        <v>22</v>
      </c>
      <c r="O51" s="40" t="s">
        <v>19</v>
      </c>
      <c r="P51" s="40" t="s">
        <v>24</v>
      </c>
      <c r="Q51" s="41" t="s">
        <v>27</v>
      </c>
      <c r="R51" s="40" t="s">
        <v>19</v>
      </c>
      <c r="S51" s="41" t="s">
        <v>59</v>
      </c>
      <c r="T51" s="41" t="s">
        <v>30</v>
      </c>
      <c r="U51" s="40" t="s">
        <v>19</v>
      </c>
      <c r="V51" s="41" t="s">
        <v>31</v>
      </c>
      <c r="W51" s="41" t="s">
        <v>32</v>
      </c>
      <c r="X51" s="40" t="s">
        <v>19</v>
      </c>
      <c r="Y51" s="41" t="s">
        <v>33</v>
      </c>
      <c r="Z51" s="41" t="s">
        <v>34</v>
      </c>
      <c r="AA51" s="40" t="s">
        <v>19</v>
      </c>
      <c r="AB51" s="41" t="s">
        <v>35</v>
      </c>
      <c r="AC51" s="42" t="s">
        <v>36</v>
      </c>
      <c r="AD51" s="40" t="s">
        <v>19</v>
      </c>
      <c r="AE51" s="42" t="s">
        <v>37</v>
      </c>
      <c r="AF51" s="41" t="s">
        <v>60</v>
      </c>
      <c r="AG51" s="42" t="s">
        <v>38</v>
      </c>
      <c r="AH51" s="40" t="s">
        <v>19</v>
      </c>
      <c r="AI51" s="42" t="s">
        <v>39</v>
      </c>
      <c r="AJ51" s="41" t="s">
        <v>61</v>
      </c>
      <c r="AK51" s="42" t="s">
        <v>40</v>
      </c>
      <c r="AL51" s="40" t="s">
        <v>19</v>
      </c>
      <c r="AM51" s="42" t="s">
        <v>41</v>
      </c>
      <c r="AN51" s="42" t="s">
        <v>42</v>
      </c>
      <c r="AO51" s="40" t="s">
        <v>19</v>
      </c>
      <c r="AP51" s="42" t="s">
        <v>43</v>
      </c>
      <c r="AQ51" s="42" t="s">
        <v>44</v>
      </c>
      <c r="AR51" s="40" t="s">
        <v>19</v>
      </c>
      <c r="AS51" s="42" t="s">
        <v>45</v>
      </c>
      <c r="AT51" s="42" t="s">
        <v>46</v>
      </c>
      <c r="AU51" s="40" t="s">
        <v>19</v>
      </c>
      <c r="AV51" s="42" t="s">
        <v>47</v>
      </c>
      <c r="AW51" s="5"/>
      <c r="AX51" s="5"/>
      <c r="AY51" s="5"/>
      <c r="AZ51" s="5"/>
      <c r="BA51" s="5"/>
      <c r="BB51" s="9"/>
      <c r="BC51" s="46"/>
      <c r="BD51" s="46"/>
      <c r="BE51" s="46"/>
      <c r="BF51" s="46"/>
      <c r="BG51" s="46"/>
      <c r="BH51" s="47"/>
      <c r="BI51" s="48"/>
      <c r="BJ51" s="48"/>
      <c r="BO51" s="7"/>
      <c r="BP51" s="7"/>
      <c r="BQ51" s="7"/>
      <c r="BR51" s="7"/>
      <c r="BS51" s="7"/>
      <c r="BT51" s="7"/>
      <c r="BU51" s="7"/>
      <c r="BV51" s="7"/>
      <c r="BW51" s="7"/>
      <c r="BX51" s="7"/>
      <c r="BY51" s="7"/>
      <c r="BZ51" s="7"/>
      <c r="CA51" s="7"/>
    </row>
    <row r="52" ht="30.0" customHeight="1">
      <c r="A52" s="2"/>
      <c r="C52" s="28"/>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5"/>
      <c r="AX52" s="5"/>
      <c r="AY52" s="5"/>
      <c r="AZ52" s="5"/>
      <c r="BA52" s="5"/>
      <c r="BB52" s="50"/>
      <c r="BC52" s="51"/>
      <c r="BD52" s="51"/>
      <c r="BE52" s="51"/>
      <c r="BF52" s="51"/>
      <c r="BG52" s="51"/>
      <c r="BH52" s="52">
        <v>18.0</v>
      </c>
      <c r="BI52" s="52">
        <v>25.0</v>
      </c>
      <c r="BJ52" s="52">
        <v>2.0</v>
      </c>
      <c r="BK52" s="52">
        <v>9.0</v>
      </c>
      <c r="BL52" s="52">
        <v>16.0</v>
      </c>
      <c r="BM52" s="52">
        <v>23.0</v>
      </c>
      <c r="BN52" s="52">
        <v>30.0</v>
      </c>
      <c r="BO52" s="7"/>
      <c r="BP52" s="7"/>
      <c r="BQ52" s="7"/>
      <c r="BR52" s="7"/>
      <c r="BS52" s="7"/>
      <c r="BT52" s="7"/>
      <c r="BU52" s="7"/>
      <c r="BV52" s="7"/>
      <c r="BW52" s="7"/>
      <c r="BX52" s="7"/>
      <c r="BY52" s="7"/>
      <c r="BZ52" s="7"/>
      <c r="CA52" s="7"/>
    </row>
    <row r="53" ht="51.75" customHeight="1">
      <c r="A53" s="2"/>
      <c r="B53" s="53" t="s">
        <v>62</v>
      </c>
      <c r="C53" s="54" t="s">
        <v>15</v>
      </c>
      <c r="D53" s="95"/>
      <c r="E53" s="95"/>
      <c r="F53" s="105"/>
      <c r="G53" s="105"/>
      <c r="H53" s="106"/>
      <c r="I53" s="55">
        <v>338499.0</v>
      </c>
      <c r="J53" s="55">
        <v>17824.0</v>
      </c>
      <c r="K53" s="56">
        <v>0.0527</v>
      </c>
      <c r="L53" s="57">
        <v>1.27</v>
      </c>
      <c r="M53" s="55">
        <v>338499.0</v>
      </c>
      <c r="N53" s="55">
        <v>21132.0</v>
      </c>
      <c r="O53" s="56">
        <v>0.0624</v>
      </c>
      <c r="P53" s="57">
        <v>5.18</v>
      </c>
      <c r="Q53" s="64">
        <v>16689.0</v>
      </c>
      <c r="R53" s="107">
        <v>0.0493</v>
      </c>
      <c r="S53" s="58">
        <v>1.67</v>
      </c>
      <c r="T53" s="64">
        <v>17027.0</v>
      </c>
      <c r="U53" s="107">
        <v>0.0503</v>
      </c>
      <c r="V53" s="58">
        <v>1.61</v>
      </c>
      <c r="W53" s="64">
        <v>17355.0</v>
      </c>
      <c r="X53" s="107">
        <v>0.0513</v>
      </c>
      <c r="Y53" s="58">
        <v>1.54</v>
      </c>
      <c r="Z53" s="64">
        <v>46879.0</v>
      </c>
      <c r="AA53" s="107">
        <v>0.1385</v>
      </c>
      <c r="AB53" s="58">
        <v>1.52</v>
      </c>
      <c r="AC53" s="64">
        <v>21390.0</v>
      </c>
      <c r="AD53" s="107">
        <v>0.0632</v>
      </c>
      <c r="AE53" s="58">
        <v>1.71</v>
      </c>
      <c r="AF53" s="64">
        <v>338499.0</v>
      </c>
      <c r="AG53" s="64">
        <v>19681.0</v>
      </c>
      <c r="AH53" s="56">
        <f>AG53/AF53</f>
        <v>0.05814197383</v>
      </c>
      <c r="AI53" s="57">
        <f>33307/AG53</f>
        <v>1.692342869</v>
      </c>
      <c r="AJ53" s="64">
        <v>338499.0</v>
      </c>
      <c r="AK53" s="64">
        <v>22239.0</v>
      </c>
      <c r="AL53" s="107">
        <v>0.0657</v>
      </c>
      <c r="AM53" s="58">
        <v>1.72</v>
      </c>
      <c r="AN53" s="64">
        <v>20549.0</v>
      </c>
      <c r="AO53" s="107">
        <v>0.0607</v>
      </c>
      <c r="AP53" s="58">
        <v>1.62</v>
      </c>
      <c r="AQ53" s="64">
        <v>20343.0</v>
      </c>
      <c r="AR53" s="107">
        <v>0.0601</v>
      </c>
      <c r="AS53" s="58">
        <v>1.64</v>
      </c>
      <c r="AT53" s="64">
        <v>19533.0</v>
      </c>
      <c r="AU53" s="107">
        <v>0.0577</v>
      </c>
      <c r="AV53" s="58">
        <v>1.71</v>
      </c>
      <c r="AW53" s="5"/>
      <c r="AX53" s="5"/>
      <c r="AY53" s="5"/>
      <c r="AZ53" s="5"/>
      <c r="BA53" s="5"/>
      <c r="BB53" s="60"/>
      <c r="BC53" s="61"/>
      <c r="BD53" s="61"/>
      <c r="BE53" s="61"/>
      <c r="BF53" s="61"/>
      <c r="BG53" s="61"/>
      <c r="BH53" s="62"/>
      <c r="BI53" s="62"/>
      <c r="BJ53" s="62"/>
      <c r="BK53" s="62"/>
      <c r="BL53" s="62"/>
      <c r="BM53" s="62"/>
      <c r="BN53" s="62"/>
      <c r="BO53" s="62"/>
      <c r="BP53" s="62"/>
      <c r="BQ53" s="62"/>
      <c r="BR53" s="62"/>
      <c r="BS53" s="62"/>
      <c r="BT53" s="62"/>
      <c r="BU53" s="62"/>
      <c r="BV53" s="62"/>
      <c r="BW53" s="62"/>
      <c r="BX53" s="62"/>
      <c r="BY53" s="62"/>
      <c r="BZ53" s="62"/>
      <c r="CA53" s="62"/>
    </row>
    <row r="54" ht="51.75" customHeight="1">
      <c r="A54" s="2"/>
      <c r="B54" s="108"/>
      <c r="C54" s="54" t="s">
        <v>68</v>
      </c>
      <c r="D54" s="95"/>
      <c r="E54" s="95"/>
      <c r="F54" s="105"/>
      <c r="G54" s="105"/>
      <c r="H54" s="106"/>
      <c r="I54" s="55">
        <v>2260016.0</v>
      </c>
      <c r="J54" s="55">
        <v>20709.0</v>
      </c>
      <c r="K54" s="56">
        <v>0.0092</v>
      </c>
      <c r="L54" s="57">
        <v>1.78</v>
      </c>
      <c r="M54" s="55">
        <v>2260016.0</v>
      </c>
      <c r="N54" s="55">
        <v>14561.0</v>
      </c>
      <c r="O54" s="56">
        <v>0.0064</v>
      </c>
      <c r="P54" s="57">
        <v>1.8</v>
      </c>
      <c r="Q54" s="64">
        <v>14795.0</v>
      </c>
      <c r="R54" s="107">
        <v>0.0065</v>
      </c>
      <c r="S54" s="58">
        <v>1.59</v>
      </c>
      <c r="T54" s="64">
        <v>14530.0</v>
      </c>
      <c r="U54" s="107">
        <v>0.0064</v>
      </c>
      <c r="V54" s="58">
        <v>1.57</v>
      </c>
      <c r="W54" s="64">
        <v>14187.0</v>
      </c>
      <c r="X54" s="107">
        <v>0.0063</v>
      </c>
      <c r="Y54" s="58">
        <v>1.61</v>
      </c>
      <c r="Z54" s="109"/>
      <c r="AA54" s="48"/>
      <c r="AB54" s="66"/>
      <c r="AC54" s="110"/>
      <c r="AD54" s="110"/>
      <c r="AE54" s="110"/>
      <c r="AF54" s="110"/>
      <c r="AG54" s="110"/>
      <c r="AH54" s="110"/>
      <c r="AI54" s="110"/>
      <c r="AJ54" s="110"/>
      <c r="AK54" s="110"/>
      <c r="AL54" s="110"/>
      <c r="AM54" s="110"/>
      <c r="AN54" s="110"/>
      <c r="AO54" s="110"/>
      <c r="AP54" s="110"/>
      <c r="AQ54" s="110"/>
      <c r="AR54" s="110"/>
      <c r="AS54" s="110"/>
      <c r="AT54" s="110"/>
      <c r="AU54" s="110"/>
      <c r="AV54" s="110"/>
      <c r="AW54" s="5"/>
      <c r="AX54" s="5"/>
      <c r="AY54" s="5"/>
      <c r="AZ54" s="5"/>
      <c r="BA54" s="5"/>
      <c r="BB54" s="60"/>
      <c r="BC54" s="61"/>
      <c r="BD54" s="61"/>
      <c r="BE54" s="61"/>
      <c r="BF54" s="61"/>
      <c r="BG54" s="61"/>
      <c r="BH54" s="62"/>
      <c r="BI54" s="62"/>
      <c r="BJ54" s="62"/>
      <c r="BK54" s="62"/>
      <c r="BL54" s="62"/>
      <c r="BM54" s="62"/>
      <c r="BN54" s="62"/>
      <c r="BO54" s="62"/>
      <c r="BP54" s="62"/>
      <c r="BQ54" s="62"/>
      <c r="BR54" s="62"/>
      <c r="BS54" s="62"/>
      <c r="BT54" s="62"/>
      <c r="BU54" s="62"/>
      <c r="BV54" s="62"/>
      <c r="BW54" s="62"/>
      <c r="BX54" s="62"/>
      <c r="BY54" s="62"/>
      <c r="BZ54" s="62"/>
      <c r="CA54" s="62"/>
    </row>
    <row r="55" ht="51.75" customHeight="1">
      <c r="A55" s="2"/>
      <c r="B55" s="63"/>
      <c r="C55" s="54" t="s">
        <v>49</v>
      </c>
      <c r="D55" s="95"/>
      <c r="E55" s="106"/>
      <c r="F55" s="111"/>
      <c r="G55" s="111"/>
      <c r="H55" s="106"/>
      <c r="I55" s="55">
        <v>124189.0</v>
      </c>
      <c r="J55" s="55">
        <v>24986.0</v>
      </c>
      <c r="K55" s="56">
        <v>0.2012</v>
      </c>
      <c r="L55" s="57">
        <v>2.58</v>
      </c>
      <c r="M55" s="55">
        <v>124189.0</v>
      </c>
      <c r="N55" s="55">
        <v>19583.0</v>
      </c>
      <c r="O55" s="56">
        <v>0.1577</v>
      </c>
      <c r="P55" s="57">
        <v>2.75</v>
      </c>
      <c r="Q55" s="64">
        <v>12413.0</v>
      </c>
      <c r="R55" s="107">
        <v>0.1</v>
      </c>
      <c r="S55" s="58">
        <v>2.65</v>
      </c>
      <c r="T55" s="64">
        <v>12720.0</v>
      </c>
      <c r="U55" s="107">
        <v>0.1024</v>
      </c>
      <c r="V55" s="58">
        <v>2.59</v>
      </c>
      <c r="W55" s="64">
        <v>11357.0</v>
      </c>
      <c r="X55" s="107">
        <v>0.0914</v>
      </c>
      <c r="Y55" s="58">
        <v>2.86</v>
      </c>
      <c r="Z55" s="64">
        <v>23698.0</v>
      </c>
      <c r="AA55" s="107">
        <v>0.1908</v>
      </c>
      <c r="AB55" s="58">
        <v>3.38</v>
      </c>
      <c r="AC55" s="64">
        <v>23234.0</v>
      </c>
      <c r="AD55" s="107">
        <v>0.1871</v>
      </c>
      <c r="AE55" s="58">
        <v>2.21</v>
      </c>
      <c r="AF55" s="64">
        <v>124189.0</v>
      </c>
      <c r="AG55" s="64">
        <v>15323.0</v>
      </c>
      <c r="AH55" s="56">
        <f>AG55/AF55</f>
        <v>0.1233845188</v>
      </c>
      <c r="AI55" s="57">
        <f>39958/AG55</f>
        <v>2.607713894</v>
      </c>
      <c r="AJ55" s="64">
        <v>124189.0</v>
      </c>
      <c r="AK55" s="64">
        <v>14805.0</v>
      </c>
      <c r="AL55" s="107">
        <v>0.1192</v>
      </c>
      <c r="AM55" s="58">
        <v>2.71</v>
      </c>
      <c r="AN55" s="64">
        <v>13294.0</v>
      </c>
      <c r="AO55" s="107">
        <v>0.107</v>
      </c>
      <c r="AP55" s="58">
        <v>3.0</v>
      </c>
      <c r="AQ55" s="64">
        <v>15101.0</v>
      </c>
      <c r="AR55" s="107">
        <v>0.1216</v>
      </c>
      <c r="AS55" s="58">
        <v>2.66</v>
      </c>
      <c r="AT55" s="64">
        <v>18214.0</v>
      </c>
      <c r="AU55" s="107">
        <v>0.1467</v>
      </c>
      <c r="AV55" s="58">
        <v>2.2</v>
      </c>
      <c r="AW55" s="5"/>
      <c r="AX55" s="5"/>
      <c r="AY55" s="5"/>
      <c r="AZ55" s="5"/>
      <c r="BA55" s="5"/>
      <c r="BB55" s="60"/>
      <c r="BC55" s="61"/>
      <c r="BD55" s="61"/>
      <c r="BE55" s="61"/>
      <c r="BF55" s="61"/>
      <c r="BG55" s="61"/>
      <c r="BH55" s="7"/>
      <c r="BI55" s="7"/>
      <c r="BJ55" s="7"/>
      <c r="BK55" s="7"/>
      <c r="BL55" s="7"/>
      <c r="BM55" s="7"/>
      <c r="BN55" s="7"/>
      <c r="BO55" s="7"/>
      <c r="BP55" s="7"/>
      <c r="BQ55" s="7"/>
      <c r="BR55" s="7"/>
      <c r="BS55" s="7"/>
      <c r="BT55" s="7"/>
      <c r="BU55" s="7"/>
      <c r="BV55" s="7"/>
      <c r="BW55" s="7"/>
      <c r="BX55" s="7"/>
      <c r="BY55" s="7"/>
      <c r="BZ55" s="7"/>
      <c r="CA55" s="7"/>
    </row>
    <row r="56" ht="26.25" customHeight="1">
      <c r="A56" s="2"/>
      <c r="B56" s="65"/>
      <c r="C56" s="48"/>
      <c r="D56" s="48"/>
      <c r="E56" s="66"/>
      <c r="F56" s="67"/>
      <c r="G56" s="67"/>
      <c r="H56" s="65"/>
      <c r="I56" s="68"/>
      <c r="J56" s="68"/>
      <c r="K56" s="68"/>
      <c r="L56" s="68"/>
      <c r="M56" s="68"/>
      <c r="N56" s="68"/>
      <c r="O56" s="68"/>
      <c r="P56" s="68"/>
      <c r="Q56" s="68"/>
      <c r="R56" s="68"/>
      <c r="S56" s="68"/>
      <c r="T56" s="68"/>
      <c r="U56" s="68"/>
      <c r="V56" s="68"/>
      <c r="W56" s="68"/>
      <c r="X56" s="68"/>
      <c r="Y56" s="68"/>
      <c r="Z56" s="68"/>
      <c r="AA56" s="68"/>
      <c r="AB56" s="68"/>
      <c r="AC56" s="70"/>
      <c r="AD56" s="70"/>
      <c r="AE56" s="70"/>
      <c r="AF56" s="70"/>
      <c r="AG56" s="70"/>
      <c r="AH56" s="70"/>
      <c r="AI56" s="70"/>
      <c r="AJ56" s="70"/>
      <c r="AK56" s="70"/>
      <c r="AL56" s="70"/>
      <c r="AM56" s="70"/>
      <c r="AN56" s="70"/>
      <c r="AO56" s="70"/>
      <c r="AP56" s="70"/>
      <c r="AQ56" s="70"/>
      <c r="AR56" s="70"/>
      <c r="AS56" s="70"/>
      <c r="AT56" s="70"/>
      <c r="AU56" s="70"/>
      <c r="AV56" s="70"/>
      <c r="AW56" s="5"/>
      <c r="AX56" s="5"/>
      <c r="AY56" s="5"/>
      <c r="AZ56" s="5"/>
      <c r="BA56" s="5"/>
      <c r="BB56" s="2"/>
      <c r="BC56" s="6"/>
      <c r="BD56" s="6"/>
      <c r="BE56" s="6"/>
      <c r="BF56" s="6"/>
      <c r="BG56" s="6"/>
      <c r="BH56" s="7"/>
      <c r="BI56" s="7"/>
      <c r="BJ56" s="7"/>
      <c r="BK56" s="7"/>
      <c r="BL56" s="7"/>
      <c r="BM56" s="7"/>
      <c r="BN56" s="7"/>
      <c r="BO56" s="7"/>
      <c r="BP56" s="7"/>
      <c r="BQ56" s="7"/>
      <c r="BR56" s="7"/>
      <c r="BS56" s="7"/>
      <c r="BT56" s="7"/>
      <c r="BU56" s="7"/>
      <c r="BV56" s="7"/>
      <c r="BW56" s="7"/>
      <c r="BX56" s="7"/>
      <c r="BY56" s="7"/>
      <c r="BZ56" s="7"/>
      <c r="CA56" s="7"/>
    </row>
    <row r="57" ht="33.75" customHeight="1">
      <c r="A57" s="72"/>
      <c r="B57" s="112" t="s">
        <v>64</v>
      </c>
      <c r="C57" s="74"/>
      <c r="D57" s="75"/>
      <c r="E57" s="113" t="str">
        <f>((sum(E53:E55)-E58)/E58)</f>
        <v>#DIV/0!</v>
      </c>
      <c r="F57" s="75"/>
      <c r="G57" s="75"/>
      <c r="H57" s="75"/>
      <c r="I57" s="114"/>
      <c r="J57" s="114"/>
      <c r="K57" s="114"/>
      <c r="L57" s="114"/>
      <c r="M57" s="114"/>
      <c r="N57" s="113">
        <f>((sum(N53:N55)-N58)/N58)</f>
        <v>0.682525188</v>
      </c>
      <c r="O57" s="114"/>
      <c r="P57" s="114"/>
      <c r="Q57" s="114"/>
      <c r="R57" s="114"/>
      <c r="S57" s="114"/>
      <c r="T57" s="114"/>
      <c r="U57" s="114"/>
      <c r="V57" s="114"/>
      <c r="W57" s="114"/>
      <c r="X57" s="114"/>
      <c r="Y57" s="114"/>
      <c r="Z57" s="114"/>
      <c r="AA57" s="114"/>
      <c r="AB57" s="114"/>
      <c r="AC57" s="82"/>
      <c r="AD57" s="82"/>
      <c r="AE57" s="82"/>
      <c r="AF57" s="82"/>
      <c r="AG57" s="82"/>
      <c r="AH57" s="82"/>
      <c r="AI57" s="82"/>
      <c r="AJ57" s="82"/>
      <c r="AK57" s="82"/>
      <c r="AL57" s="82"/>
      <c r="AM57" s="82"/>
      <c r="AN57" s="82"/>
      <c r="AO57" s="82"/>
      <c r="AP57" s="82"/>
      <c r="AQ57" s="82"/>
      <c r="AR57" s="82"/>
      <c r="AS57" s="82"/>
      <c r="AT57" s="82"/>
      <c r="AU57" s="82"/>
      <c r="AV57" s="82"/>
      <c r="AW57" s="5"/>
      <c r="AX57" s="5"/>
      <c r="AY57" s="5"/>
      <c r="AZ57" s="5"/>
      <c r="BA57" s="5"/>
      <c r="BB57" s="5"/>
      <c r="BC57" s="72"/>
      <c r="BD57" s="83"/>
      <c r="BE57" s="83"/>
      <c r="BF57" s="83"/>
      <c r="BG57" s="83"/>
      <c r="BH57" s="83"/>
      <c r="BI57" s="84"/>
      <c r="BJ57" s="84"/>
      <c r="BK57" s="84"/>
      <c r="BL57" s="84"/>
      <c r="BM57" s="84"/>
      <c r="BN57" s="84"/>
      <c r="BO57" s="84"/>
      <c r="BP57" s="84"/>
      <c r="BQ57" s="84"/>
      <c r="BR57" s="84"/>
      <c r="BS57" s="84"/>
      <c r="BT57" s="84"/>
      <c r="BU57" s="84"/>
      <c r="BV57" s="84"/>
      <c r="BW57" s="84"/>
      <c r="BX57" s="84"/>
      <c r="BY57" s="84"/>
      <c r="BZ57" s="84"/>
      <c r="CA57" s="84"/>
    </row>
    <row r="58" ht="33.75" customHeight="1">
      <c r="A58" s="72"/>
      <c r="B58" s="73" t="s">
        <v>51</v>
      </c>
      <c r="C58" s="74"/>
      <c r="D58" s="75"/>
      <c r="E58" s="75"/>
      <c r="F58" s="75"/>
      <c r="G58" s="75"/>
      <c r="H58" s="75"/>
      <c r="I58" s="75"/>
      <c r="J58" s="75"/>
      <c r="K58" s="75"/>
      <c r="L58" s="81"/>
      <c r="M58" s="81"/>
      <c r="N58" s="116">
        <v>32853.0</v>
      </c>
      <c r="O58" s="115"/>
      <c r="P58" s="115">
        <v>2.64</v>
      </c>
      <c r="Q58" s="81"/>
      <c r="R58" s="81"/>
      <c r="S58" s="81"/>
      <c r="T58" s="81"/>
      <c r="U58" s="81"/>
      <c r="V58" s="81"/>
      <c r="W58" s="81"/>
      <c r="X58" s="81"/>
      <c r="Y58" s="81"/>
      <c r="Z58" s="81"/>
      <c r="AA58" s="81"/>
      <c r="AB58" s="81"/>
      <c r="AC58" s="82"/>
      <c r="AD58" s="82"/>
      <c r="AE58" s="82"/>
      <c r="AF58" s="82"/>
      <c r="AG58" s="82"/>
      <c r="AH58" s="82"/>
      <c r="AI58" s="82"/>
      <c r="AJ58" s="82"/>
      <c r="AK58" s="82"/>
      <c r="AL58" s="82"/>
      <c r="AM58" s="82"/>
      <c r="AN58" s="82"/>
      <c r="AO58" s="82"/>
      <c r="AP58" s="82"/>
      <c r="AQ58" s="82"/>
      <c r="AR58" s="82"/>
      <c r="AS58" s="82"/>
      <c r="AT58" s="82"/>
      <c r="AU58" s="82"/>
      <c r="AV58" s="82"/>
      <c r="AW58" s="5"/>
      <c r="AX58" s="5"/>
      <c r="AY58" s="5"/>
      <c r="AZ58" s="5"/>
      <c r="BA58" s="5"/>
      <c r="BB58" s="72"/>
      <c r="BC58" s="83"/>
      <c r="BD58" s="83"/>
      <c r="BE58" s="83"/>
      <c r="BF58" s="83"/>
      <c r="BG58" s="83"/>
      <c r="BH58" s="84"/>
      <c r="BI58" s="84"/>
      <c r="BJ58" s="84"/>
      <c r="BK58" s="84"/>
      <c r="BL58" s="84"/>
      <c r="BM58" s="84"/>
      <c r="BN58" s="84"/>
      <c r="BO58" s="84"/>
      <c r="BP58" s="84"/>
      <c r="BQ58" s="84"/>
      <c r="BR58" s="84"/>
      <c r="BS58" s="84"/>
      <c r="BT58" s="84"/>
      <c r="BU58" s="84"/>
      <c r="BV58" s="84"/>
      <c r="BW58" s="84"/>
      <c r="BX58" s="84"/>
      <c r="BY58" s="84"/>
      <c r="BZ58" s="84"/>
      <c r="CA58" s="84"/>
    </row>
    <row r="59" ht="15.75" customHeight="1">
      <c r="A59" s="98"/>
      <c r="B59" s="98"/>
      <c r="C59" s="98"/>
      <c r="D59" s="98"/>
      <c r="E59" s="98"/>
      <c r="F59" s="98"/>
      <c r="G59" s="98"/>
      <c r="H59" s="98"/>
      <c r="I59" s="99"/>
      <c r="J59" s="99"/>
      <c r="K59" s="99"/>
      <c r="L59" s="99"/>
      <c r="M59" s="14"/>
      <c r="N59" s="14"/>
      <c r="O59" s="14"/>
      <c r="P59" s="14"/>
      <c r="Q59" s="10"/>
      <c r="R59" s="14"/>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5"/>
      <c r="AX59" s="5"/>
      <c r="AY59" s="5"/>
      <c r="AZ59" s="5"/>
      <c r="BA59" s="5"/>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row>
    <row r="60" ht="15.75" customHeight="1">
      <c r="A60" s="98"/>
      <c r="B60" s="98"/>
      <c r="C60" s="98"/>
      <c r="D60" s="98"/>
      <c r="E60" s="98"/>
      <c r="F60" s="98"/>
      <c r="G60" s="98"/>
      <c r="H60" s="98"/>
      <c r="I60" s="99"/>
      <c r="J60" s="99"/>
      <c r="K60" s="99"/>
      <c r="L60" s="99"/>
      <c r="M60" s="14"/>
      <c r="N60" s="14"/>
      <c r="O60" s="14"/>
      <c r="P60" s="14"/>
      <c r="Q60" s="10"/>
      <c r="R60" s="14"/>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5"/>
      <c r="AX60" s="5"/>
      <c r="AY60" s="5"/>
      <c r="AZ60" s="5"/>
      <c r="BA60" s="5"/>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row>
    <row r="61" ht="15.75" customHeight="1">
      <c r="A61" s="98"/>
      <c r="B61" s="98"/>
      <c r="C61" s="98"/>
      <c r="D61" s="98"/>
      <c r="E61" s="98"/>
      <c r="F61" s="98"/>
      <c r="G61" s="98"/>
      <c r="H61" s="98"/>
      <c r="I61" s="99"/>
      <c r="J61" s="99"/>
      <c r="K61" s="99"/>
      <c r="L61" s="99"/>
      <c r="M61" s="14"/>
      <c r="N61" s="14"/>
      <c r="O61" s="14"/>
      <c r="P61" s="14"/>
      <c r="Q61" s="10"/>
      <c r="R61" s="14"/>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5"/>
      <c r="AX61" s="5"/>
      <c r="AY61" s="5"/>
      <c r="AZ61" s="5"/>
      <c r="BA61" s="5"/>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row>
    <row r="62" ht="15.75" customHeight="1">
      <c r="A62" s="98"/>
      <c r="B62" s="98"/>
      <c r="C62" s="98"/>
      <c r="D62" s="98"/>
      <c r="E62" s="98"/>
      <c r="F62" s="98"/>
      <c r="G62" s="98"/>
      <c r="H62" s="98"/>
      <c r="I62" s="99"/>
      <c r="J62" s="99"/>
      <c r="K62" s="99"/>
      <c r="L62" s="99"/>
      <c r="M62" s="14"/>
      <c r="N62" s="14"/>
      <c r="O62" s="14"/>
      <c r="P62" s="14"/>
      <c r="Q62" s="10"/>
      <c r="R62" s="14"/>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5"/>
      <c r="AX62" s="5"/>
      <c r="AY62" s="5"/>
      <c r="AZ62" s="5"/>
      <c r="BA62" s="5"/>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row>
    <row r="63" ht="15.75" customHeight="1">
      <c r="A63" s="98"/>
      <c r="B63" s="98"/>
      <c r="C63" s="98"/>
      <c r="D63" s="98"/>
      <c r="E63" s="98"/>
      <c r="F63" s="98"/>
      <c r="G63" s="98"/>
      <c r="H63" s="98"/>
      <c r="I63" s="99"/>
      <c r="J63" s="99"/>
      <c r="K63" s="99"/>
      <c r="L63" s="99"/>
      <c r="M63" s="14"/>
      <c r="N63" s="14"/>
      <c r="O63" s="14"/>
      <c r="P63" s="14"/>
      <c r="Q63" s="10"/>
      <c r="R63" s="14"/>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5"/>
      <c r="AX63" s="5"/>
      <c r="AY63" s="5"/>
      <c r="AZ63" s="5"/>
      <c r="BA63" s="5"/>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row>
    <row r="64" ht="15.75" customHeight="1">
      <c r="A64" s="98"/>
      <c r="B64" s="98"/>
      <c r="C64" s="98"/>
      <c r="D64" s="98"/>
      <c r="E64" s="98"/>
      <c r="F64" s="98"/>
      <c r="G64" s="98"/>
      <c r="H64" s="98"/>
      <c r="I64" s="99"/>
      <c r="J64" s="99"/>
      <c r="K64" s="99"/>
      <c r="L64" s="99"/>
      <c r="M64" s="14"/>
      <c r="N64" s="14"/>
      <c r="O64" s="14"/>
      <c r="P64" s="14"/>
      <c r="Q64" s="10"/>
      <c r="R64" s="14"/>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5"/>
      <c r="AX64" s="5"/>
      <c r="AY64" s="5"/>
      <c r="AZ64" s="5"/>
      <c r="BA64" s="5"/>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row>
    <row r="65" ht="15.75" customHeight="1">
      <c r="A65" s="98"/>
      <c r="B65" s="98"/>
      <c r="C65" s="98"/>
      <c r="D65" s="98"/>
      <c r="E65" s="98"/>
      <c r="F65" s="98"/>
      <c r="G65" s="98"/>
      <c r="H65" s="98"/>
      <c r="I65" s="99"/>
      <c r="J65" s="99"/>
      <c r="K65" s="99"/>
      <c r="L65" s="99"/>
      <c r="M65" s="14"/>
      <c r="N65" s="14"/>
      <c r="O65" s="14"/>
      <c r="P65" s="14"/>
      <c r="Q65" s="10"/>
      <c r="R65" s="14"/>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5"/>
      <c r="AX65" s="5"/>
      <c r="AY65" s="5"/>
      <c r="AZ65" s="5"/>
      <c r="BA65" s="5"/>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row>
    <row r="66" ht="15.75" customHeight="1">
      <c r="A66" s="98"/>
      <c r="B66" s="98"/>
      <c r="C66" s="98"/>
      <c r="D66" s="98"/>
      <c r="E66" s="98"/>
      <c r="F66" s="98"/>
      <c r="G66" s="98"/>
      <c r="H66" s="98"/>
      <c r="I66" s="99"/>
      <c r="J66" s="99"/>
      <c r="K66" s="99"/>
      <c r="L66" s="99"/>
      <c r="M66" s="14"/>
      <c r="N66" s="14"/>
      <c r="O66" s="14"/>
      <c r="P66" s="14"/>
      <c r="Q66" s="10"/>
      <c r="R66" s="14"/>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5"/>
      <c r="AX66" s="5"/>
      <c r="AY66" s="5"/>
      <c r="AZ66" s="5"/>
      <c r="BA66" s="5"/>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row>
    <row r="67" ht="15.75" customHeight="1">
      <c r="A67" s="98"/>
      <c r="B67" s="98"/>
      <c r="C67" s="98"/>
      <c r="D67" s="98"/>
      <c r="E67" s="98"/>
      <c r="F67" s="98"/>
      <c r="G67" s="98"/>
      <c r="H67" s="98"/>
      <c r="I67" s="99"/>
      <c r="J67" s="99"/>
      <c r="K67" s="99"/>
      <c r="L67" s="99"/>
      <c r="M67" s="14"/>
      <c r="N67" s="14"/>
      <c r="O67" s="14"/>
      <c r="P67" s="14"/>
      <c r="Q67" s="10"/>
      <c r="R67" s="14"/>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5"/>
      <c r="AX67" s="5"/>
      <c r="AY67" s="5"/>
      <c r="AZ67" s="5"/>
      <c r="BA67" s="5"/>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row>
    <row r="68" ht="15.75" customHeight="1">
      <c r="A68" s="98"/>
      <c r="B68" s="98"/>
      <c r="C68" s="98"/>
      <c r="D68" s="98"/>
      <c r="E68" s="98"/>
      <c r="F68" s="98"/>
      <c r="G68" s="98"/>
      <c r="H68" s="98"/>
      <c r="I68" s="99"/>
      <c r="J68" s="99"/>
      <c r="K68" s="99"/>
      <c r="L68" s="99"/>
      <c r="M68" s="14"/>
      <c r="N68" s="14"/>
      <c r="O68" s="14"/>
      <c r="P68" s="14"/>
      <c r="Q68" s="10"/>
      <c r="R68" s="14"/>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5"/>
      <c r="AX68" s="5"/>
      <c r="AY68" s="5"/>
      <c r="AZ68" s="5"/>
      <c r="BA68" s="5"/>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row>
    <row r="69" ht="15.75" customHeight="1">
      <c r="A69" s="98"/>
      <c r="B69" s="98"/>
      <c r="C69" s="98"/>
      <c r="D69" s="98"/>
      <c r="E69" s="98"/>
      <c r="F69" s="98"/>
      <c r="G69" s="98"/>
      <c r="H69" s="98"/>
      <c r="I69" s="99"/>
      <c r="J69" s="99"/>
      <c r="K69" s="99"/>
      <c r="L69" s="99"/>
      <c r="M69" s="14"/>
      <c r="N69" s="14"/>
      <c r="O69" s="14"/>
      <c r="P69" s="14"/>
      <c r="Q69" s="10"/>
      <c r="R69" s="14"/>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5"/>
      <c r="AX69" s="5"/>
      <c r="AY69" s="5"/>
      <c r="AZ69" s="5"/>
      <c r="BA69" s="5"/>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row>
    <row r="70" ht="15.75" customHeight="1">
      <c r="A70" s="98"/>
      <c r="B70" s="98"/>
      <c r="C70" s="98"/>
      <c r="D70" s="98"/>
      <c r="E70" s="98"/>
      <c r="F70" s="98"/>
      <c r="G70" s="98"/>
      <c r="H70" s="98"/>
      <c r="I70" s="99"/>
      <c r="J70" s="99"/>
      <c r="K70" s="99"/>
      <c r="L70" s="99"/>
      <c r="M70" s="14"/>
      <c r="N70" s="14"/>
      <c r="O70" s="14"/>
      <c r="P70" s="14"/>
      <c r="Q70" s="10"/>
      <c r="R70" s="14"/>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5"/>
      <c r="AX70" s="5"/>
      <c r="AY70" s="5"/>
      <c r="AZ70" s="5"/>
      <c r="BA70" s="5"/>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row>
    <row r="71" ht="15.75" customHeight="1">
      <c r="A71" s="98"/>
      <c r="B71" s="98"/>
      <c r="C71" s="98"/>
      <c r="D71" s="98"/>
      <c r="E71" s="98"/>
      <c r="F71" s="98"/>
      <c r="G71" s="98"/>
      <c r="H71" s="98"/>
      <c r="I71" s="99"/>
      <c r="J71" s="99"/>
      <c r="K71" s="99"/>
      <c r="L71" s="99"/>
      <c r="M71" s="14"/>
      <c r="N71" s="14"/>
      <c r="O71" s="14"/>
      <c r="P71" s="14"/>
      <c r="Q71" s="10"/>
      <c r="R71" s="14"/>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5"/>
      <c r="AX71" s="5"/>
      <c r="AY71" s="5"/>
      <c r="AZ71" s="5"/>
      <c r="BA71" s="5"/>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row>
    <row r="72" ht="15.75" customHeight="1">
      <c r="A72" s="98"/>
      <c r="B72" s="98"/>
      <c r="C72" s="98"/>
      <c r="D72" s="98"/>
      <c r="E72" s="98"/>
      <c r="F72" s="98"/>
      <c r="G72" s="98"/>
      <c r="H72" s="98"/>
      <c r="I72" s="99"/>
      <c r="J72" s="99"/>
      <c r="K72" s="99"/>
      <c r="L72" s="99"/>
      <c r="M72" s="14"/>
      <c r="N72" s="14"/>
      <c r="O72" s="14"/>
      <c r="P72" s="14"/>
      <c r="Q72" s="10"/>
      <c r="R72" s="14"/>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5"/>
      <c r="AX72" s="5"/>
      <c r="AY72" s="5"/>
      <c r="AZ72" s="5"/>
      <c r="BA72" s="5"/>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row>
    <row r="73" ht="15.75" customHeight="1">
      <c r="A73" s="98"/>
      <c r="B73" s="98"/>
      <c r="C73" s="98"/>
      <c r="D73" s="98"/>
      <c r="E73" s="98"/>
      <c r="F73" s="98"/>
      <c r="G73" s="98"/>
      <c r="H73" s="98"/>
      <c r="I73" s="99"/>
      <c r="J73" s="99"/>
      <c r="K73" s="99"/>
      <c r="L73" s="99"/>
      <c r="M73" s="14"/>
      <c r="N73" s="14"/>
      <c r="O73" s="14"/>
      <c r="P73" s="14"/>
      <c r="Q73" s="10"/>
      <c r="R73" s="14"/>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5"/>
      <c r="AX73" s="5"/>
      <c r="AY73" s="5"/>
      <c r="AZ73" s="5"/>
      <c r="BA73" s="5"/>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row>
    <row r="74" ht="15.75" customHeight="1">
      <c r="A74" s="98"/>
      <c r="B74" s="98"/>
      <c r="C74" s="98"/>
      <c r="D74" s="98"/>
      <c r="E74" s="98"/>
      <c r="F74" s="98"/>
      <c r="G74" s="98"/>
      <c r="H74" s="98"/>
      <c r="I74" s="99"/>
      <c r="J74" s="99"/>
      <c r="K74" s="99"/>
      <c r="L74" s="99"/>
      <c r="M74" s="14"/>
      <c r="N74" s="14"/>
      <c r="O74" s="14"/>
      <c r="P74" s="14"/>
      <c r="Q74" s="10"/>
      <c r="R74" s="14"/>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5"/>
      <c r="AX74" s="5"/>
      <c r="AY74" s="5"/>
      <c r="AZ74" s="5"/>
      <c r="BA74" s="5"/>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row>
    <row r="75" ht="15.75" customHeight="1">
      <c r="A75" s="98"/>
      <c r="B75" s="98"/>
      <c r="C75" s="98"/>
      <c r="D75" s="98"/>
      <c r="E75" s="98"/>
      <c r="F75" s="98"/>
      <c r="G75" s="98"/>
      <c r="H75" s="98"/>
      <c r="I75" s="99"/>
      <c r="J75" s="99"/>
      <c r="K75" s="99"/>
      <c r="L75" s="99"/>
      <c r="M75" s="14"/>
      <c r="N75" s="14"/>
      <c r="O75" s="14"/>
      <c r="P75" s="14"/>
      <c r="Q75" s="10"/>
      <c r="R75" s="14"/>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5"/>
      <c r="AX75" s="5"/>
      <c r="AY75" s="5"/>
      <c r="AZ75" s="5"/>
      <c r="BA75" s="5"/>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row>
    <row r="76" ht="15.75" customHeight="1">
      <c r="A76" s="98"/>
      <c r="B76" s="98"/>
      <c r="C76" s="98"/>
      <c r="D76" s="98"/>
      <c r="E76" s="98"/>
      <c r="F76" s="98"/>
      <c r="G76" s="98"/>
      <c r="H76" s="98"/>
      <c r="I76" s="99"/>
      <c r="J76" s="99"/>
      <c r="K76" s="99"/>
      <c r="L76" s="99"/>
      <c r="M76" s="14"/>
      <c r="N76" s="14"/>
      <c r="O76" s="14"/>
      <c r="P76" s="14"/>
      <c r="Q76" s="10"/>
      <c r="R76" s="14"/>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5"/>
      <c r="AX76" s="5"/>
      <c r="AY76" s="5"/>
      <c r="AZ76" s="5"/>
      <c r="BA76" s="5"/>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row>
    <row r="77" ht="15.75" customHeight="1">
      <c r="A77" s="98"/>
      <c r="B77" s="98"/>
      <c r="C77" s="98"/>
      <c r="D77" s="98"/>
      <c r="E77" s="98"/>
      <c r="F77" s="98"/>
      <c r="G77" s="98"/>
      <c r="H77" s="98"/>
      <c r="I77" s="99"/>
      <c r="J77" s="99"/>
      <c r="K77" s="99"/>
      <c r="L77" s="99"/>
      <c r="M77" s="14"/>
      <c r="N77" s="14"/>
      <c r="O77" s="14"/>
      <c r="P77" s="14"/>
      <c r="Q77" s="10"/>
      <c r="R77" s="14"/>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5"/>
      <c r="AX77" s="5"/>
      <c r="AY77" s="5"/>
      <c r="AZ77" s="5"/>
      <c r="BA77" s="5"/>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row>
    <row r="78" ht="15.75" customHeight="1">
      <c r="A78" s="98"/>
      <c r="B78" s="98"/>
      <c r="C78" s="98"/>
      <c r="D78" s="98"/>
      <c r="E78" s="98"/>
      <c r="F78" s="98"/>
      <c r="G78" s="98"/>
      <c r="H78" s="98"/>
      <c r="I78" s="99"/>
      <c r="J78" s="99"/>
      <c r="K78" s="99"/>
      <c r="L78" s="99"/>
      <c r="M78" s="14"/>
      <c r="N78" s="14"/>
      <c r="O78" s="14"/>
      <c r="P78" s="14"/>
      <c r="Q78" s="10"/>
      <c r="R78" s="14"/>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5"/>
      <c r="AX78" s="5"/>
      <c r="AY78" s="5"/>
      <c r="AZ78" s="5"/>
      <c r="BA78" s="5"/>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row>
    <row r="79" ht="15.75" customHeight="1">
      <c r="A79" s="98"/>
      <c r="B79" s="98"/>
      <c r="C79" s="98"/>
      <c r="D79" s="98"/>
      <c r="E79" s="98"/>
      <c r="F79" s="98"/>
      <c r="G79" s="98"/>
      <c r="H79" s="98"/>
      <c r="I79" s="99"/>
      <c r="J79" s="99"/>
      <c r="K79" s="99"/>
      <c r="L79" s="99"/>
      <c r="M79" s="14"/>
      <c r="N79" s="14"/>
      <c r="O79" s="14"/>
      <c r="P79" s="14"/>
      <c r="Q79" s="10"/>
      <c r="R79" s="14"/>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5"/>
      <c r="AX79" s="5"/>
      <c r="AY79" s="5"/>
      <c r="AZ79" s="5"/>
      <c r="BA79" s="5"/>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row>
    <row r="80" ht="15.75" customHeight="1">
      <c r="A80" s="98"/>
      <c r="B80" s="98"/>
      <c r="C80" s="98"/>
      <c r="D80" s="98"/>
      <c r="E80" s="98"/>
      <c r="F80" s="98"/>
      <c r="G80" s="98"/>
      <c r="H80" s="98"/>
      <c r="I80" s="99"/>
      <c r="J80" s="99"/>
      <c r="K80" s="99"/>
      <c r="L80" s="99"/>
      <c r="M80" s="14"/>
      <c r="N80" s="14"/>
      <c r="O80" s="14"/>
      <c r="P80" s="14"/>
      <c r="Q80" s="10"/>
      <c r="R80" s="14"/>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5"/>
      <c r="AX80" s="5"/>
      <c r="AY80" s="5"/>
      <c r="AZ80" s="5"/>
      <c r="BA80" s="5"/>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row>
    <row r="81" ht="15.75" customHeight="1">
      <c r="A81" s="98"/>
      <c r="B81" s="98"/>
      <c r="C81" s="98"/>
      <c r="D81" s="98"/>
      <c r="E81" s="98"/>
      <c r="F81" s="98"/>
      <c r="G81" s="98"/>
      <c r="H81" s="98"/>
      <c r="I81" s="99"/>
      <c r="J81" s="99"/>
      <c r="K81" s="99"/>
      <c r="L81" s="99"/>
      <c r="M81" s="14"/>
      <c r="N81" s="14"/>
      <c r="O81" s="14"/>
      <c r="P81" s="14"/>
      <c r="Q81" s="10"/>
      <c r="R81" s="14"/>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5"/>
      <c r="AX81" s="5"/>
      <c r="AY81" s="5"/>
      <c r="AZ81" s="5"/>
      <c r="BA81" s="5"/>
      <c r="BB81" s="98"/>
      <c r="BC81" s="98"/>
      <c r="BD81" s="98"/>
      <c r="BE81" s="98"/>
      <c r="BF81" s="98"/>
      <c r="BG81" s="98"/>
      <c r="BH81" s="98"/>
      <c r="BI81" s="98"/>
      <c r="BJ81" s="98"/>
      <c r="BK81" s="98"/>
      <c r="BL81" s="98"/>
      <c r="BM81" s="98"/>
      <c r="BN81" s="98"/>
      <c r="BO81" s="98"/>
      <c r="BP81" s="98"/>
      <c r="BQ81" s="98"/>
      <c r="BR81" s="98"/>
      <c r="BS81" s="98"/>
      <c r="BT81" s="98"/>
      <c r="BU81" s="98"/>
      <c r="BV81" s="98"/>
      <c r="BW81" s="98"/>
      <c r="BX81" s="98"/>
      <c r="BY81" s="98"/>
      <c r="BZ81" s="98"/>
      <c r="CA81" s="98"/>
    </row>
    <row r="82" ht="15.75" customHeight="1">
      <c r="A82" s="98"/>
      <c r="B82" s="98"/>
      <c r="C82" s="98"/>
      <c r="D82" s="98"/>
      <c r="E82" s="98"/>
      <c r="F82" s="98"/>
      <c r="G82" s="98"/>
      <c r="H82" s="98"/>
      <c r="I82" s="99"/>
      <c r="J82" s="99"/>
      <c r="K82" s="99"/>
      <c r="L82" s="99"/>
      <c r="M82" s="14"/>
      <c r="N82" s="14"/>
      <c r="O82" s="14"/>
      <c r="P82" s="14"/>
      <c r="Q82" s="10"/>
      <c r="R82" s="14"/>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5"/>
      <c r="AX82" s="5"/>
      <c r="AY82" s="5"/>
      <c r="AZ82" s="5"/>
      <c r="BA82" s="5"/>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row>
    <row r="83" ht="15.75" customHeight="1">
      <c r="A83" s="98"/>
      <c r="B83" s="98"/>
      <c r="C83" s="98"/>
      <c r="D83" s="98"/>
      <c r="E83" s="98"/>
      <c r="F83" s="98"/>
      <c r="G83" s="98"/>
      <c r="H83" s="98"/>
      <c r="I83" s="99"/>
      <c r="J83" s="99"/>
      <c r="K83" s="99"/>
      <c r="L83" s="99"/>
      <c r="M83" s="14"/>
      <c r="N83" s="14"/>
      <c r="O83" s="14"/>
      <c r="P83" s="14"/>
      <c r="Q83" s="10"/>
      <c r="R83" s="14"/>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5"/>
      <c r="AX83" s="5"/>
      <c r="AY83" s="5"/>
      <c r="AZ83" s="5"/>
      <c r="BA83" s="5"/>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row>
    <row r="84" ht="15.75" customHeight="1">
      <c r="A84" s="98"/>
      <c r="B84" s="98"/>
      <c r="C84" s="98"/>
      <c r="D84" s="98"/>
      <c r="E84" s="98"/>
      <c r="F84" s="98"/>
      <c r="G84" s="98"/>
      <c r="H84" s="98"/>
      <c r="I84" s="99"/>
      <c r="J84" s="99"/>
      <c r="K84" s="99"/>
      <c r="L84" s="99"/>
      <c r="M84" s="14"/>
      <c r="N84" s="14"/>
      <c r="O84" s="14"/>
      <c r="P84" s="14"/>
      <c r="Q84" s="10"/>
      <c r="R84" s="14"/>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5"/>
      <c r="AX84" s="5"/>
      <c r="AY84" s="5"/>
      <c r="AZ84" s="5"/>
      <c r="BA84" s="5"/>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row>
    <row r="85" ht="15.75" customHeight="1">
      <c r="A85" s="98"/>
      <c r="B85" s="98"/>
      <c r="C85" s="98"/>
      <c r="D85" s="98"/>
      <c r="E85" s="98"/>
      <c r="F85" s="98"/>
      <c r="G85" s="98"/>
      <c r="H85" s="98"/>
      <c r="I85" s="99"/>
      <c r="J85" s="99"/>
      <c r="K85" s="99"/>
      <c r="L85" s="99"/>
      <c r="M85" s="14"/>
      <c r="N85" s="14"/>
      <c r="O85" s="14"/>
      <c r="P85" s="14"/>
      <c r="Q85" s="10"/>
      <c r="R85" s="14"/>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5"/>
      <c r="AX85" s="5"/>
      <c r="AY85" s="5"/>
      <c r="AZ85" s="5"/>
      <c r="BA85" s="5"/>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row>
    <row r="86" ht="15.75" customHeight="1">
      <c r="A86" s="98"/>
      <c r="B86" s="98"/>
      <c r="C86" s="98"/>
      <c r="D86" s="98"/>
      <c r="E86" s="98"/>
      <c r="F86" s="98"/>
      <c r="G86" s="98"/>
      <c r="H86" s="98"/>
      <c r="I86" s="99"/>
      <c r="J86" s="99"/>
      <c r="K86" s="99"/>
      <c r="L86" s="99"/>
      <c r="M86" s="14"/>
      <c r="N86" s="14"/>
      <c r="O86" s="14"/>
      <c r="P86" s="14"/>
      <c r="Q86" s="10"/>
      <c r="R86" s="14"/>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5"/>
      <c r="AX86" s="5"/>
      <c r="AY86" s="5"/>
      <c r="AZ86" s="5"/>
      <c r="BA86" s="5"/>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row>
    <row r="87" ht="15.75" customHeight="1">
      <c r="A87" s="98"/>
      <c r="B87" s="98"/>
      <c r="C87" s="98"/>
      <c r="D87" s="98"/>
      <c r="E87" s="98"/>
      <c r="F87" s="98"/>
      <c r="G87" s="98"/>
      <c r="H87" s="98"/>
      <c r="I87" s="99"/>
      <c r="J87" s="99"/>
      <c r="K87" s="99"/>
      <c r="L87" s="99"/>
      <c r="M87" s="14"/>
      <c r="N87" s="14"/>
      <c r="O87" s="14"/>
      <c r="P87" s="14"/>
      <c r="Q87" s="10"/>
      <c r="R87" s="14"/>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5"/>
      <c r="AX87" s="5"/>
      <c r="AY87" s="5"/>
      <c r="AZ87" s="5"/>
      <c r="BA87" s="5"/>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row>
    <row r="88" ht="15.75" customHeight="1">
      <c r="A88" s="98"/>
      <c r="B88" s="98"/>
      <c r="C88" s="98"/>
      <c r="D88" s="98"/>
      <c r="E88" s="98"/>
      <c r="F88" s="98"/>
      <c r="G88" s="98"/>
      <c r="H88" s="98"/>
      <c r="I88" s="99"/>
      <c r="J88" s="99"/>
      <c r="K88" s="99"/>
      <c r="L88" s="99"/>
      <c r="M88" s="14"/>
      <c r="N88" s="14"/>
      <c r="O88" s="14"/>
      <c r="P88" s="14"/>
      <c r="Q88" s="10"/>
      <c r="R88" s="14"/>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5"/>
      <c r="AX88" s="5"/>
      <c r="AY88" s="5"/>
      <c r="AZ88" s="5"/>
      <c r="BA88" s="5"/>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row>
    <row r="89" ht="15.75" customHeight="1">
      <c r="A89" s="98"/>
      <c r="B89" s="98"/>
      <c r="C89" s="98"/>
      <c r="D89" s="98"/>
      <c r="E89" s="98"/>
      <c r="F89" s="98"/>
      <c r="G89" s="98"/>
      <c r="H89" s="98"/>
      <c r="I89" s="99"/>
      <c r="J89" s="99"/>
      <c r="K89" s="99"/>
      <c r="L89" s="99"/>
      <c r="M89" s="14"/>
      <c r="N89" s="14"/>
      <c r="O89" s="14"/>
      <c r="P89" s="14"/>
      <c r="Q89" s="10"/>
      <c r="R89" s="14"/>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5"/>
      <c r="AX89" s="5"/>
      <c r="AY89" s="5"/>
      <c r="AZ89" s="5"/>
      <c r="BA89" s="5"/>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row>
    <row r="90" ht="15.75" customHeight="1">
      <c r="A90" s="98"/>
      <c r="B90" s="98"/>
      <c r="C90" s="98"/>
      <c r="D90" s="98"/>
      <c r="E90" s="98"/>
      <c r="F90" s="98"/>
      <c r="G90" s="98"/>
      <c r="H90" s="98"/>
      <c r="I90" s="99"/>
      <c r="J90" s="99"/>
      <c r="K90" s="99"/>
      <c r="L90" s="99"/>
      <c r="M90" s="14"/>
      <c r="N90" s="14"/>
      <c r="O90" s="14"/>
      <c r="P90" s="14"/>
      <c r="Q90" s="10"/>
      <c r="R90" s="14"/>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5"/>
      <c r="AX90" s="5"/>
      <c r="AY90" s="5"/>
      <c r="AZ90" s="5"/>
      <c r="BA90" s="5"/>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row>
    <row r="91" ht="15.75" customHeight="1">
      <c r="A91" s="98"/>
      <c r="B91" s="98"/>
      <c r="C91" s="98"/>
      <c r="D91" s="98"/>
      <c r="E91" s="98"/>
      <c r="F91" s="98"/>
      <c r="G91" s="98"/>
      <c r="H91" s="98"/>
      <c r="I91" s="99"/>
      <c r="J91" s="99"/>
      <c r="K91" s="99"/>
      <c r="L91" s="99"/>
      <c r="M91" s="14"/>
      <c r="N91" s="14"/>
      <c r="O91" s="14"/>
      <c r="P91" s="14"/>
      <c r="Q91" s="10"/>
      <c r="R91" s="14"/>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5"/>
      <c r="AX91" s="5"/>
      <c r="AY91" s="5"/>
      <c r="AZ91" s="5"/>
      <c r="BA91" s="5"/>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row>
    <row r="92" ht="15.75" customHeight="1">
      <c r="A92" s="98"/>
      <c r="B92" s="98"/>
      <c r="C92" s="98"/>
      <c r="D92" s="98"/>
      <c r="E92" s="98"/>
      <c r="F92" s="98"/>
      <c r="G92" s="98"/>
      <c r="H92" s="98"/>
      <c r="I92" s="99"/>
      <c r="J92" s="99"/>
      <c r="K92" s="99"/>
      <c r="L92" s="99"/>
      <c r="M92" s="14"/>
      <c r="N92" s="14"/>
      <c r="O92" s="14"/>
      <c r="P92" s="14"/>
      <c r="Q92" s="10"/>
      <c r="R92" s="14"/>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5"/>
      <c r="AX92" s="5"/>
      <c r="AY92" s="5"/>
      <c r="AZ92" s="5"/>
      <c r="BA92" s="5"/>
      <c r="BB92" s="98"/>
      <c r="BC92" s="98"/>
      <c r="BD92" s="98"/>
      <c r="BE92" s="98"/>
      <c r="BF92" s="98"/>
      <c r="BG92" s="98"/>
      <c r="BH92" s="98"/>
      <c r="BI92" s="98"/>
      <c r="BJ92" s="98"/>
      <c r="BK92" s="98"/>
      <c r="BL92" s="98"/>
      <c r="BM92" s="98"/>
      <c r="BN92" s="98"/>
      <c r="BO92" s="98"/>
      <c r="BP92" s="98"/>
      <c r="BQ92" s="98"/>
      <c r="BR92" s="98"/>
      <c r="BS92" s="98"/>
      <c r="BT92" s="98"/>
      <c r="BU92" s="98"/>
      <c r="BV92" s="98"/>
      <c r="BW92" s="98"/>
      <c r="BX92" s="98"/>
      <c r="BY92" s="98"/>
      <c r="BZ92" s="98"/>
      <c r="CA92" s="98"/>
    </row>
    <row r="93" ht="15.75" customHeight="1">
      <c r="A93" s="98"/>
      <c r="B93" s="98"/>
      <c r="C93" s="98"/>
      <c r="D93" s="98"/>
      <c r="E93" s="98"/>
      <c r="F93" s="98"/>
      <c r="G93" s="98"/>
      <c r="H93" s="98"/>
      <c r="I93" s="99"/>
      <c r="J93" s="99"/>
      <c r="K93" s="99"/>
      <c r="L93" s="99"/>
      <c r="M93" s="14"/>
      <c r="N93" s="14"/>
      <c r="O93" s="14"/>
      <c r="P93" s="14"/>
      <c r="Q93" s="10"/>
      <c r="R93" s="14"/>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5"/>
      <c r="AX93" s="5"/>
      <c r="AY93" s="5"/>
      <c r="AZ93" s="5"/>
      <c r="BA93" s="5"/>
      <c r="BB93" s="98"/>
      <c r="BC93" s="98"/>
      <c r="BD93" s="98"/>
      <c r="BE93" s="98"/>
      <c r="BF93" s="98"/>
      <c r="BG93" s="98"/>
      <c r="BH93" s="98"/>
      <c r="BI93" s="98"/>
      <c r="BJ93" s="98"/>
      <c r="BK93" s="98"/>
      <c r="BL93" s="98"/>
      <c r="BM93" s="98"/>
      <c r="BN93" s="98"/>
      <c r="BO93" s="98"/>
      <c r="BP93" s="98"/>
      <c r="BQ93" s="98"/>
      <c r="BR93" s="98"/>
      <c r="BS93" s="98"/>
      <c r="BT93" s="98"/>
      <c r="BU93" s="98"/>
      <c r="BV93" s="98"/>
      <c r="BW93" s="98"/>
      <c r="BX93" s="98"/>
      <c r="BY93" s="98"/>
      <c r="BZ93" s="98"/>
      <c r="CA93" s="98"/>
    </row>
    <row r="94" ht="15.75" customHeight="1">
      <c r="A94" s="98"/>
      <c r="B94" s="98"/>
      <c r="C94" s="98"/>
      <c r="D94" s="98"/>
      <c r="E94" s="98"/>
      <c r="F94" s="98"/>
      <c r="G94" s="98"/>
      <c r="H94" s="98"/>
      <c r="I94" s="99"/>
      <c r="J94" s="99"/>
      <c r="K94" s="99"/>
      <c r="L94" s="99"/>
      <c r="M94" s="14"/>
      <c r="N94" s="14"/>
      <c r="O94" s="14"/>
      <c r="P94" s="14"/>
      <c r="Q94" s="10"/>
      <c r="R94" s="14"/>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5"/>
      <c r="AX94" s="5"/>
      <c r="AY94" s="5"/>
      <c r="AZ94" s="5"/>
      <c r="BA94" s="5"/>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row>
    <row r="95" ht="15.75" customHeight="1">
      <c r="A95" s="98"/>
      <c r="B95" s="98"/>
      <c r="C95" s="98"/>
      <c r="D95" s="98"/>
      <c r="E95" s="98"/>
      <c r="F95" s="98"/>
      <c r="G95" s="98"/>
      <c r="H95" s="98"/>
      <c r="I95" s="99"/>
      <c r="J95" s="99"/>
      <c r="K95" s="99"/>
      <c r="L95" s="99"/>
      <c r="M95" s="14"/>
      <c r="N95" s="14"/>
      <c r="O95" s="14"/>
      <c r="P95" s="14"/>
      <c r="Q95" s="10"/>
      <c r="R95" s="14"/>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5"/>
      <c r="AX95" s="5"/>
      <c r="AY95" s="5"/>
      <c r="AZ95" s="5"/>
      <c r="BA95" s="5"/>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98"/>
    </row>
    <row r="96" ht="15.75" customHeight="1">
      <c r="A96" s="98"/>
      <c r="B96" s="98"/>
      <c r="C96" s="98"/>
      <c r="D96" s="98"/>
      <c r="E96" s="98"/>
      <c r="F96" s="98"/>
      <c r="G96" s="98"/>
      <c r="H96" s="98"/>
      <c r="I96" s="99"/>
      <c r="J96" s="99"/>
      <c r="K96" s="99"/>
      <c r="L96" s="99"/>
      <c r="M96" s="14"/>
      <c r="N96" s="14"/>
      <c r="O96" s="14"/>
      <c r="P96" s="14"/>
      <c r="Q96" s="10"/>
      <c r="R96" s="14"/>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5"/>
      <c r="AX96" s="5"/>
      <c r="AY96" s="5"/>
      <c r="AZ96" s="5"/>
      <c r="BA96" s="5"/>
      <c r="BB96" s="98"/>
      <c r="BC96" s="98"/>
      <c r="BD96" s="98"/>
      <c r="BE96" s="98"/>
      <c r="BF96" s="98"/>
      <c r="BG96" s="98"/>
      <c r="BH96" s="98"/>
      <c r="BI96" s="98"/>
      <c r="BJ96" s="98"/>
      <c r="BK96" s="98"/>
      <c r="BL96" s="98"/>
      <c r="BM96" s="98"/>
      <c r="BN96" s="98"/>
      <c r="BO96" s="98"/>
      <c r="BP96" s="98"/>
      <c r="BQ96" s="98"/>
      <c r="BR96" s="98"/>
      <c r="BS96" s="98"/>
      <c r="BT96" s="98"/>
      <c r="BU96" s="98"/>
      <c r="BV96" s="98"/>
      <c r="BW96" s="98"/>
      <c r="BX96" s="98"/>
      <c r="BY96" s="98"/>
      <c r="BZ96" s="98"/>
      <c r="CA96" s="98"/>
    </row>
    <row r="97" ht="15.75" customHeight="1">
      <c r="A97" s="98"/>
      <c r="B97" s="98"/>
      <c r="C97" s="98"/>
      <c r="D97" s="98"/>
      <c r="E97" s="98"/>
      <c r="F97" s="98"/>
      <c r="G97" s="98"/>
      <c r="H97" s="98"/>
      <c r="I97" s="99"/>
      <c r="J97" s="99"/>
      <c r="K97" s="99"/>
      <c r="L97" s="99"/>
      <c r="M97" s="14"/>
      <c r="N97" s="14"/>
      <c r="O97" s="14"/>
      <c r="P97" s="14"/>
      <c r="Q97" s="10"/>
      <c r="R97" s="14"/>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5"/>
      <c r="AX97" s="5"/>
      <c r="AY97" s="5"/>
      <c r="AZ97" s="5"/>
      <c r="BA97" s="5"/>
      <c r="BB97" s="98"/>
      <c r="BC97" s="98"/>
      <c r="BD97" s="98"/>
      <c r="BE97" s="98"/>
      <c r="BF97" s="98"/>
      <c r="BG97" s="98"/>
      <c r="BH97" s="98"/>
      <c r="BI97" s="98"/>
      <c r="BJ97" s="98"/>
      <c r="BK97" s="98"/>
      <c r="BL97" s="98"/>
      <c r="BM97" s="98"/>
      <c r="BN97" s="98"/>
      <c r="BO97" s="98"/>
      <c r="BP97" s="98"/>
      <c r="BQ97" s="98"/>
      <c r="BR97" s="98"/>
      <c r="BS97" s="98"/>
      <c r="BT97" s="98"/>
      <c r="BU97" s="98"/>
      <c r="BV97" s="98"/>
      <c r="BW97" s="98"/>
      <c r="BX97" s="98"/>
      <c r="BY97" s="98"/>
      <c r="BZ97" s="98"/>
      <c r="CA97" s="98"/>
    </row>
    <row r="98" ht="15.75" customHeight="1">
      <c r="A98" s="98"/>
      <c r="B98" s="98"/>
      <c r="C98" s="98"/>
      <c r="D98" s="98"/>
      <c r="E98" s="98"/>
      <c r="F98" s="98"/>
      <c r="G98" s="98"/>
      <c r="H98" s="98"/>
      <c r="I98" s="99"/>
      <c r="J98" s="99"/>
      <c r="K98" s="99"/>
      <c r="L98" s="99"/>
      <c r="M98" s="14"/>
      <c r="N98" s="14"/>
      <c r="O98" s="14"/>
      <c r="P98" s="14"/>
      <c r="Q98" s="10"/>
      <c r="R98" s="14"/>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5"/>
      <c r="AX98" s="5"/>
      <c r="AY98" s="5"/>
      <c r="AZ98" s="5"/>
      <c r="BA98" s="5"/>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row>
    <row r="99" ht="15.75" customHeight="1">
      <c r="A99" s="98"/>
      <c r="B99" s="98"/>
      <c r="C99" s="98"/>
      <c r="D99" s="98"/>
      <c r="E99" s="98"/>
      <c r="F99" s="98"/>
      <c r="G99" s="98"/>
      <c r="H99" s="98"/>
      <c r="I99" s="99"/>
      <c r="J99" s="99"/>
      <c r="K99" s="99"/>
      <c r="L99" s="99"/>
      <c r="M99" s="14"/>
      <c r="N99" s="14"/>
      <c r="O99" s="14"/>
      <c r="P99" s="14"/>
      <c r="Q99" s="10"/>
      <c r="R99" s="14"/>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5"/>
      <c r="AX99" s="5"/>
      <c r="AY99" s="5"/>
      <c r="AZ99" s="5"/>
      <c r="BA99" s="5"/>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row>
    <row r="100" ht="15.75" customHeight="1">
      <c r="A100" s="98"/>
      <c r="B100" s="98"/>
      <c r="C100" s="98"/>
      <c r="D100" s="98"/>
      <c r="E100" s="98"/>
      <c r="F100" s="98"/>
      <c r="G100" s="98"/>
      <c r="H100" s="98"/>
      <c r="I100" s="99"/>
      <c r="J100" s="99"/>
      <c r="K100" s="99"/>
      <c r="L100" s="99"/>
      <c r="M100" s="14"/>
      <c r="N100" s="14"/>
      <c r="O100" s="14"/>
      <c r="P100" s="14"/>
      <c r="Q100" s="10"/>
      <c r="R100" s="14"/>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5"/>
      <c r="AX100" s="5"/>
      <c r="AY100" s="5"/>
      <c r="AZ100" s="5"/>
      <c r="BA100" s="5"/>
      <c r="BB100" s="98"/>
      <c r="BC100" s="98"/>
      <c r="BD100" s="98"/>
      <c r="BE100" s="98"/>
      <c r="BF100" s="98"/>
      <c r="BG100" s="98"/>
      <c r="BH100" s="98"/>
      <c r="BI100" s="98"/>
      <c r="BJ100" s="98"/>
      <c r="BK100" s="98"/>
      <c r="BL100" s="98"/>
      <c r="BM100" s="98"/>
      <c r="BN100" s="98"/>
      <c r="BO100" s="98"/>
      <c r="BP100" s="98"/>
      <c r="BQ100" s="98"/>
      <c r="BR100" s="98"/>
      <c r="BS100" s="98"/>
      <c r="BT100" s="98"/>
      <c r="BU100" s="98"/>
      <c r="BV100" s="98"/>
      <c r="BW100" s="98"/>
      <c r="BX100" s="98"/>
      <c r="BY100" s="98"/>
      <c r="BZ100" s="98"/>
      <c r="CA100" s="98"/>
    </row>
    <row r="101" ht="15.75" customHeight="1">
      <c r="A101" s="98"/>
      <c r="B101" s="98"/>
      <c r="C101" s="98"/>
      <c r="D101" s="98"/>
      <c r="E101" s="98"/>
      <c r="F101" s="98"/>
      <c r="G101" s="98"/>
      <c r="H101" s="98"/>
      <c r="I101" s="99"/>
      <c r="J101" s="99"/>
      <c r="K101" s="99"/>
      <c r="L101" s="99"/>
      <c r="M101" s="14"/>
      <c r="N101" s="14"/>
      <c r="O101" s="14"/>
      <c r="P101" s="14"/>
      <c r="Q101" s="10"/>
      <c r="R101" s="14"/>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5"/>
      <c r="AX101" s="5"/>
      <c r="AY101" s="5"/>
      <c r="AZ101" s="5"/>
      <c r="BA101" s="5"/>
      <c r="BB101" s="98"/>
      <c r="BC101" s="98"/>
      <c r="BD101" s="98"/>
      <c r="BE101" s="98"/>
      <c r="BF101" s="98"/>
      <c r="BG101" s="98"/>
      <c r="BH101" s="98"/>
      <c r="BI101" s="98"/>
      <c r="BJ101" s="98"/>
      <c r="BK101" s="98"/>
      <c r="BL101" s="98"/>
      <c r="BM101" s="98"/>
      <c r="BN101" s="98"/>
      <c r="BO101" s="98"/>
      <c r="BP101" s="98"/>
      <c r="BQ101" s="98"/>
      <c r="BR101" s="98"/>
      <c r="BS101" s="98"/>
      <c r="BT101" s="98"/>
      <c r="BU101" s="98"/>
      <c r="BV101" s="98"/>
      <c r="BW101" s="98"/>
      <c r="BX101" s="98"/>
      <c r="BY101" s="98"/>
      <c r="BZ101" s="98"/>
      <c r="CA101" s="98"/>
    </row>
    <row r="102" ht="15.75" customHeight="1">
      <c r="A102" s="98"/>
      <c r="B102" s="98"/>
      <c r="C102" s="98"/>
      <c r="D102" s="98"/>
      <c r="E102" s="98"/>
      <c r="F102" s="98"/>
      <c r="G102" s="98"/>
      <c r="H102" s="98"/>
      <c r="I102" s="99"/>
      <c r="J102" s="99"/>
      <c r="K102" s="99"/>
      <c r="L102" s="99"/>
      <c r="M102" s="14"/>
      <c r="N102" s="14"/>
      <c r="O102" s="14"/>
      <c r="P102" s="14"/>
      <c r="Q102" s="10"/>
      <c r="R102" s="14"/>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5"/>
      <c r="AX102" s="5"/>
      <c r="AY102" s="5"/>
      <c r="AZ102" s="5"/>
      <c r="BA102" s="5"/>
      <c r="BB102" s="98"/>
      <c r="BC102" s="98"/>
      <c r="BD102" s="98"/>
      <c r="BE102" s="98"/>
      <c r="BF102" s="98"/>
      <c r="BG102" s="98"/>
      <c r="BH102" s="98"/>
      <c r="BI102" s="98"/>
      <c r="BJ102" s="98"/>
      <c r="BK102" s="98"/>
      <c r="BL102" s="98"/>
      <c r="BM102" s="98"/>
      <c r="BN102" s="98"/>
      <c r="BO102" s="98"/>
      <c r="BP102" s="98"/>
      <c r="BQ102" s="98"/>
      <c r="BR102" s="98"/>
      <c r="BS102" s="98"/>
      <c r="BT102" s="98"/>
      <c r="BU102" s="98"/>
      <c r="BV102" s="98"/>
      <c r="BW102" s="98"/>
      <c r="BX102" s="98"/>
      <c r="BY102" s="98"/>
      <c r="BZ102" s="98"/>
      <c r="CA102" s="98"/>
    </row>
    <row r="103" ht="15.75" customHeight="1">
      <c r="A103" s="98"/>
      <c r="B103" s="98"/>
      <c r="C103" s="98"/>
      <c r="D103" s="98"/>
      <c r="E103" s="98"/>
      <c r="F103" s="98"/>
      <c r="G103" s="98"/>
      <c r="H103" s="98"/>
      <c r="I103" s="99"/>
      <c r="J103" s="99"/>
      <c r="K103" s="99"/>
      <c r="L103" s="99"/>
      <c r="M103" s="14"/>
      <c r="N103" s="14"/>
      <c r="O103" s="14"/>
      <c r="P103" s="14"/>
      <c r="Q103" s="10"/>
      <c r="R103" s="14"/>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5"/>
      <c r="AX103" s="5"/>
      <c r="AY103" s="5"/>
      <c r="AZ103" s="5"/>
      <c r="BA103" s="5"/>
      <c r="BB103" s="98"/>
      <c r="BC103" s="98"/>
      <c r="BD103" s="98"/>
      <c r="BE103" s="98"/>
      <c r="BF103" s="98"/>
      <c r="BG103" s="98"/>
      <c r="BH103" s="98"/>
      <c r="BI103" s="98"/>
      <c r="BJ103" s="98"/>
      <c r="BK103" s="98"/>
      <c r="BL103" s="98"/>
      <c r="BM103" s="98"/>
      <c r="BN103" s="98"/>
      <c r="BO103" s="98"/>
      <c r="BP103" s="98"/>
      <c r="BQ103" s="98"/>
      <c r="BR103" s="98"/>
      <c r="BS103" s="98"/>
      <c r="BT103" s="98"/>
      <c r="BU103" s="98"/>
      <c r="BV103" s="98"/>
      <c r="BW103" s="98"/>
      <c r="BX103" s="98"/>
      <c r="BY103" s="98"/>
      <c r="BZ103" s="98"/>
      <c r="CA103" s="98"/>
    </row>
    <row r="104" ht="15.75" customHeight="1">
      <c r="A104" s="98"/>
      <c r="B104" s="98"/>
      <c r="C104" s="98"/>
      <c r="D104" s="98"/>
      <c r="E104" s="98"/>
      <c r="F104" s="98"/>
      <c r="G104" s="98"/>
      <c r="H104" s="98"/>
      <c r="I104" s="99"/>
      <c r="J104" s="99"/>
      <c r="K104" s="99"/>
      <c r="L104" s="99"/>
      <c r="M104" s="14"/>
      <c r="N104" s="14"/>
      <c r="O104" s="14"/>
      <c r="P104" s="14"/>
      <c r="Q104" s="10"/>
      <c r="R104" s="14"/>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5"/>
      <c r="AX104" s="5"/>
      <c r="AY104" s="5"/>
      <c r="AZ104" s="5"/>
      <c r="BA104" s="5"/>
      <c r="BB104" s="98"/>
      <c r="BC104" s="98"/>
      <c r="BD104" s="98"/>
      <c r="BE104" s="98"/>
      <c r="BF104" s="98"/>
      <c r="BG104" s="98"/>
      <c r="BH104" s="98"/>
      <c r="BI104" s="98"/>
      <c r="BJ104" s="98"/>
      <c r="BK104" s="98"/>
      <c r="BL104" s="98"/>
      <c r="BM104" s="98"/>
      <c r="BN104" s="98"/>
      <c r="BO104" s="98"/>
      <c r="BP104" s="98"/>
      <c r="BQ104" s="98"/>
      <c r="BR104" s="98"/>
      <c r="BS104" s="98"/>
      <c r="BT104" s="98"/>
      <c r="BU104" s="98"/>
      <c r="BV104" s="98"/>
      <c r="BW104" s="98"/>
      <c r="BX104" s="98"/>
      <c r="BY104" s="98"/>
      <c r="BZ104" s="98"/>
      <c r="CA104" s="98"/>
    </row>
    <row r="105" ht="15.75" customHeight="1">
      <c r="A105" s="98"/>
      <c r="B105" s="98"/>
      <c r="C105" s="98"/>
      <c r="D105" s="98"/>
      <c r="E105" s="98"/>
      <c r="F105" s="98"/>
      <c r="G105" s="98"/>
      <c r="H105" s="98"/>
      <c r="I105" s="99"/>
      <c r="J105" s="99"/>
      <c r="K105" s="99"/>
      <c r="L105" s="99"/>
      <c r="M105" s="14"/>
      <c r="N105" s="14"/>
      <c r="O105" s="14"/>
      <c r="P105" s="14"/>
      <c r="Q105" s="10"/>
      <c r="R105" s="14"/>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5"/>
      <c r="AX105" s="5"/>
      <c r="AY105" s="5"/>
      <c r="AZ105" s="5"/>
      <c r="BA105" s="5"/>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row>
    <row r="106" ht="15.75" customHeight="1">
      <c r="A106" s="98"/>
      <c r="B106" s="98"/>
      <c r="C106" s="98"/>
      <c r="D106" s="98"/>
      <c r="E106" s="98"/>
      <c r="F106" s="98"/>
      <c r="G106" s="98"/>
      <c r="H106" s="98"/>
      <c r="I106" s="99"/>
      <c r="J106" s="99"/>
      <c r="K106" s="99"/>
      <c r="L106" s="99"/>
      <c r="M106" s="14"/>
      <c r="N106" s="14"/>
      <c r="O106" s="14"/>
      <c r="P106" s="14"/>
      <c r="Q106" s="10"/>
      <c r="R106" s="14"/>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5"/>
      <c r="AX106" s="5"/>
      <c r="AY106" s="5"/>
      <c r="AZ106" s="5"/>
      <c r="BA106" s="5"/>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row>
    <row r="107" ht="15.75" customHeight="1">
      <c r="A107" s="98"/>
      <c r="B107" s="98"/>
      <c r="C107" s="98"/>
      <c r="D107" s="98"/>
      <c r="E107" s="98"/>
      <c r="F107" s="98"/>
      <c r="G107" s="98"/>
      <c r="H107" s="98"/>
      <c r="I107" s="99"/>
      <c r="J107" s="99"/>
      <c r="K107" s="99"/>
      <c r="L107" s="99"/>
      <c r="M107" s="14"/>
      <c r="N107" s="14"/>
      <c r="O107" s="14"/>
      <c r="P107" s="14"/>
      <c r="Q107" s="10"/>
      <c r="R107" s="14"/>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5"/>
      <c r="AX107" s="5"/>
      <c r="AY107" s="5"/>
      <c r="AZ107" s="5"/>
      <c r="BA107" s="5"/>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row>
    <row r="108" ht="15.75" customHeight="1">
      <c r="A108" s="98"/>
      <c r="B108" s="98"/>
      <c r="C108" s="98"/>
      <c r="D108" s="98"/>
      <c r="E108" s="98"/>
      <c r="F108" s="98"/>
      <c r="G108" s="98"/>
      <c r="H108" s="98"/>
      <c r="I108" s="99"/>
      <c r="J108" s="99"/>
      <c r="K108" s="99"/>
      <c r="L108" s="99"/>
      <c r="M108" s="14"/>
      <c r="N108" s="14"/>
      <c r="O108" s="14"/>
      <c r="P108" s="14"/>
      <c r="Q108" s="10"/>
      <c r="R108" s="14"/>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5"/>
      <c r="AX108" s="5"/>
      <c r="AY108" s="5"/>
      <c r="AZ108" s="5"/>
      <c r="BA108" s="5"/>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row>
    <row r="109" ht="15.75" customHeight="1">
      <c r="A109" s="98"/>
      <c r="B109" s="98"/>
      <c r="C109" s="98"/>
      <c r="D109" s="98"/>
      <c r="E109" s="98"/>
      <c r="F109" s="98"/>
      <c r="G109" s="98"/>
      <c r="H109" s="98"/>
      <c r="I109" s="99"/>
      <c r="J109" s="99"/>
      <c r="K109" s="99"/>
      <c r="L109" s="99"/>
      <c r="M109" s="14"/>
      <c r="N109" s="14"/>
      <c r="O109" s="14"/>
      <c r="P109" s="14"/>
      <c r="Q109" s="10"/>
      <c r="R109" s="14"/>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5"/>
      <c r="AX109" s="5"/>
      <c r="AY109" s="5"/>
      <c r="AZ109" s="5"/>
      <c r="BA109" s="5"/>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row>
    <row r="110" ht="15.75" customHeight="1">
      <c r="A110" s="98"/>
      <c r="B110" s="98"/>
      <c r="C110" s="98"/>
      <c r="D110" s="98"/>
      <c r="E110" s="98"/>
      <c r="F110" s="98"/>
      <c r="G110" s="98"/>
      <c r="H110" s="98"/>
      <c r="I110" s="99"/>
      <c r="J110" s="99"/>
      <c r="K110" s="99"/>
      <c r="L110" s="99"/>
      <c r="M110" s="14"/>
      <c r="N110" s="14"/>
      <c r="O110" s="14"/>
      <c r="P110" s="14"/>
      <c r="Q110" s="10"/>
      <c r="R110" s="14"/>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5"/>
      <c r="AX110" s="5"/>
      <c r="AY110" s="5"/>
      <c r="AZ110" s="5"/>
      <c r="BA110" s="5"/>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row>
    <row r="111" ht="15.75" customHeight="1">
      <c r="A111" s="98"/>
      <c r="B111" s="98"/>
      <c r="C111" s="98"/>
      <c r="D111" s="98"/>
      <c r="E111" s="98"/>
      <c r="F111" s="98"/>
      <c r="G111" s="98"/>
      <c r="H111" s="98"/>
      <c r="I111" s="99"/>
      <c r="J111" s="99"/>
      <c r="K111" s="99"/>
      <c r="L111" s="99"/>
      <c r="M111" s="14"/>
      <c r="N111" s="14"/>
      <c r="O111" s="14"/>
      <c r="P111" s="14"/>
      <c r="Q111" s="10"/>
      <c r="R111" s="14"/>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5"/>
      <c r="AX111" s="5"/>
      <c r="AY111" s="5"/>
      <c r="AZ111" s="5"/>
      <c r="BA111" s="5"/>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row>
    <row r="112" ht="15.75" customHeight="1">
      <c r="A112" s="98"/>
      <c r="B112" s="98"/>
      <c r="C112" s="98"/>
      <c r="D112" s="98"/>
      <c r="E112" s="98"/>
      <c r="F112" s="98"/>
      <c r="G112" s="98"/>
      <c r="H112" s="98"/>
      <c r="I112" s="99"/>
      <c r="J112" s="99"/>
      <c r="K112" s="99"/>
      <c r="L112" s="99"/>
      <c r="M112" s="14"/>
      <c r="N112" s="14"/>
      <c r="O112" s="14"/>
      <c r="P112" s="14"/>
      <c r="Q112" s="10"/>
      <c r="R112" s="14"/>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5"/>
      <c r="AX112" s="5"/>
      <c r="AY112" s="5"/>
      <c r="AZ112" s="5"/>
      <c r="BA112" s="5"/>
      <c r="BB112" s="98"/>
      <c r="BC112" s="98"/>
      <c r="BD112" s="98"/>
      <c r="BE112" s="98"/>
      <c r="BF112" s="98"/>
      <c r="BG112" s="98"/>
      <c r="BH112" s="98"/>
      <c r="BI112" s="98"/>
      <c r="BJ112" s="98"/>
      <c r="BK112" s="98"/>
      <c r="BL112" s="98"/>
      <c r="BM112" s="98"/>
      <c r="BN112" s="98"/>
      <c r="BO112" s="98"/>
      <c r="BP112" s="98"/>
      <c r="BQ112" s="98"/>
      <c r="BR112" s="98"/>
      <c r="BS112" s="98"/>
      <c r="BT112" s="98"/>
      <c r="BU112" s="98"/>
      <c r="BV112" s="98"/>
      <c r="BW112" s="98"/>
      <c r="BX112" s="98"/>
      <c r="BY112" s="98"/>
      <c r="BZ112" s="98"/>
      <c r="CA112" s="98"/>
    </row>
    <row r="113" ht="15.75" customHeight="1">
      <c r="A113" s="98"/>
      <c r="B113" s="98"/>
      <c r="C113" s="98"/>
      <c r="D113" s="98"/>
      <c r="E113" s="98"/>
      <c r="F113" s="98"/>
      <c r="G113" s="98"/>
      <c r="H113" s="98"/>
      <c r="I113" s="99"/>
      <c r="J113" s="99"/>
      <c r="K113" s="99"/>
      <c r="L113" s="99"/>
      <c r="M113" s="14"/>
      <c r="N113" s="14"/>
      <c r="O113" s="14"/>
      <c r="P113" s="14"/>
      <c r="Q113" s="10"/>
      <c r="R113" s="14"/>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5"/>
      <c r="AX113" s="5"/>
      <c r="AY113" s="5"/>
      <c r="AZ113" s="5"/>
      <c r="BA113" s="5"/>
      <c r="BB113" s="98"/>
      <c r="BC113" s="98"/>
      <c r="BD113" s="98"/>
      <c r="BE113" s="98"/>
      <c r="BF113" s="98"/>
      <c r="BG113" s="98"/>
      <c r="BH113" s="98"/>
      <c r="BI113" s="98"/>
      <c r="BJ113" s="98"/>
      <c r="BK113" s="98"/>
      <c r="BL113" s="98"/>
      <c r="BM113" s="98"/>
      <c r="BN113" s="98"/>
      <c r="BO113" s="98"/>
      <c r="BP113" s="98"/>
      <c r="BQ113" s="98"/>
      <c r="BR113" s="98"/>
      <c r="BS113" s="98"/>
      <c r="BT113" s="98"/>
      <c r="BU113" s="98"/>
      <c r="BV113" s="98"/>
      <c r="BW113" s="98"/>
      <c r="BX113" s="98"/>
      <c r="BY113" s="98"/>
      <c r="BZ113" s="98"/>
      <c r="CA113" s="98"/>
    </row>
    <row r="114" ht="15.75" customHeight="1">
      <c r="A114" s="98"/>
      <c r="B114" s="98"/>
      <c r="C114" s="98"/>
      <c r="D114" s="98"/>
      <c r="E114" s="98"/>
      <c r="F114" s="98"/>
      <c r="G114" s="98"/>
      <c r="H114" s="98"/>
      <c r="I114" s="99"/>
      <c r="J114" s="99"/>
      <c r="K114" s="99"/>
      <c r="L114" s="99"/>
      <c r="M114" s="14"/>
      <c r="N114" s="14"/>
      <c r="O114" s="14"/>
      <c r="P114" s="14"/>
      <c r="Q114" s="10"/>
      <c r="R114" s="14"/>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5"/>
      <c r="AX114" s="5"/>
      <c r="AY114" s="5"/>
      <c r="AZ114" s="5"/>
      <c r="BA114" s="5"/>
      <c r="BB114" s="98"/>
      <c r="BC114" s="98"/>
      <c r="BD114" s="98"/>
      <c r="BE114" s="98"/>
      <c r="BF114" s="98"/>
      <c r="BG114" s="98"/>
      <c r="BH114" s="98"/>
      <c r="BI114" s="98"/>
      <c r="BJ114" s="98"/>
      <c r="BK114" s="98"/>
      <c r="BL114" s="98"/>
      <c r="BM114" s="98"/>
      <c r="BN114" s="98"/>
      <c r="BO114" s="98"/>
      <c r="BP114" s="98"/>
      <c r="BQ114" s="98"/>
      <c r="BR114" s="98"/>
      <c r="BS114" s="98"/>
      <c r="BT114" s="98"/>
      <c r="BU114" s="98"/>
      <c r="BV114" s="98"/>
      <c r="BW114" s="98"/>
      <c r="BX114" s="98"/>
      <c r="BY114" s="98"/>
      <c r="BZ114" s="98"/>
      <c r="CA114" s="98"/>
    </row>
    <row r="115" ht="15.75" customHeight="1">
      <c r="A115" s="98"/>
      <c r="B115" s="98"/>
      <c r="C115" s="98"/>
      <c r="D115" s="98"/>
      <c r="E115" s="98"/>
      <c r="F115" s="98"/>
      <c r="G115" s="98"/>
      <c r="H115" s="98"/>
      <c r="I115" s="99"/>
      <c r="J115" s="99"/>
      <c r="K115" s="99"/>
      <c r="L115" s="99"/>
      <c r="M115" s="14"/>
      <c r="N115" s="14"/>
      <c r="O115" s="14"/>
      <c r="P115" s="14"/>
      <c r="Q115" s="10"/>
      <c r="R115" s="14"/>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5"/>
      <c r="AX115" s="5"/>
      <c r="AY115" s="5"/>
      <c r="AZ115" s="5"/>
      <c r="BA115" s="5"/>
      <c r="BB115" s="98"/>
      <c r="BC115" s="98"/>
      <c r="BD115" s="98"/>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row>
    <row r="116" ht="15.75" customHeight="1">
      <c r="A116" s="98"/>
      <c r="B116" s="98"/>
      <c r="C116" s="98"/>
      <c r="D116" s="98"/>
      <c r="E116" s="98"/>
      <c r="F116" s="98"/>
      <c r="G116" s="98"/>
      <c r="H116" s="98"/>
      <c r="I116" s="99"/>
      <c r="J116" s="99"/>
      <c r="K116" s="99"/>
      <c r="L116" s="99"/>
      <c r="M116" s="14"/>
      <c r="N116" s="14"/>
      <c r="O116" s="14"/>
      <c r="P116" s="14"/>
      <c r="Q116" s="10"/>
      <c r="R116" s="14"/>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5"/>
      <c r="AX116" s="5"/>
      <c r="AY116" s="5"/>
      <c r="AZ116" s="5"/>
      <c r="BA116" s="5"/>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row>
    <row r="117" ht="15.75" customHeight="1">
      <c r="A117" s="98"/>
      <c r="B117" s="98"/>
      <c r="C117" s="98"/>
      <c r="D117" s="98"/>
      <c r="E117" s="98"/>
      <c r="F117" s="98"/>
      <c r="G117" s="98"/>
      <c r="H117" s="98"/>
      <c r="I117" s="99"/>
      <c r="J117" s="99"/>
      <c r="K117" s="99"/>
      <c r="L117" s="99"/>
      <c r="M117" s="99"/>
      <c r="N117" s="99"/>
      <c r="O117" s="99"/>
      <c r="P117" s="99"/>
      <c r="Q117" s="99"/>
      <c r="R117" s="99"/>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row>
    <row r="118" ht="15.75" customHeight="1">
      <c r="A118" s="98"/>
      <c r="B118" s="98"/>
      <c r="C118" s="98"/>
      <c r="D118" s="98"/>
      <c r="E118" s="98"/>
      <c r="F118" s="98"/>
      <c r="G118" s="98"/>
      <c r="H118" s="98"/>
      <c r="I118" s="99"/>
      <c r="J118" s="99"/>
      <c r="K118" s="99"/>
      <c r="L118" s="99"/>
      <c r="M118" s="99"/>
      <c r="N118" s="99"/>
      <c r="O118" s="99"/>
      <c r="P118" s="99"/>
      <c r="Q118" s="99"/>
      <c r="R118" s="99"/>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row>
    <row r="119" ht="15.75" customHeight="1">
      <c r="A119" s="98"/>
      <c r="B119" s="98"/>
      <c r="C119" s="98"/>
      <c r="D119" s="98"/>
      <c r="E119" s="98"/>
      <c r="F119" s="98"/>
      <c r="G119" s="98"/>
      <c r="H119" s="98"/>
      <c r="I119" s="99"/>
      <c r="J119" s="99"/>
      <c r="K119" s="99"/>
      <c r="L119" s="99"/>
      <c r="M119" s="99"/>
      <c r="N119" s="99"/>
      <c r="O119" s="99"/>
      <c r="P119" s="99"/>
      <c r="Q119" s="99"/>
      <c r="R119" s="99"/>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row>
    <row r="120" ht="15.75" customHeight="1">
      <c r="A120" s="98"/>
      <c r="B120" s="98"/>
      <c r="C120" s="98"/>
      <c r="D120" s="98"/>
      <c r="E120" s="98"/>
      <c r="F120" s="98"/>
      <c r="G120" s="98"/>
      <c r="H120" s="98"/>
      <c r="I120" s="99"/>
      <c r="J120" s="99"/>
      <c r="K120" s="99"/>
      <c r="L120" s="99"/>
      <c r="M120" s="99"/>
      <c r="N120" s="99"/>
      <c r="O120" s="99"/>
      <c r="P120" s="99"/>
      <c r="Q120" s="99"/>
      <c r="R120" s="99"/>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c r="AW120" s="98"/>
      <c r="AX120" s="98"/>
      <c r="AY120" s="98"/>
      <c r="AZ120" s="98"/>
      <c r="BA120" s="98"/>
      <c r="BB120" s="98"/>
      <c r="BC120" s="98"/>
      <c r="BD120" s="98"/>
      <c r="BE120" s="98"/>
      <c r="BF120" s="98"/>
      <c r="BG120" s="98"/>
      <c r="BH120" s="98"/>
      <c r="BI120" s="98"/>
      <c r="BJ120" s="98"/>
      <c r="BK120" s="98"/>
      <c r="BL120" s="98"/>
      <c r="BM120" s="98"/>
      <c r="BN120" s="98"/>
      <c r="BO120" s="98"/>
      <c r="BP120" s="98"/>
      <c r="BQ120" s="98"/>
      <c r="BR120" s="98"/>
      <c r="BS120" s="98"/>
      <c r="BT120" s="98"/>
      <c r="BU120" s="98"/>
      <c r="BV120" s="98"/>
      <c r="BW120" s="98"/>
      <c r="BX120" s="98"/>
      <c r="BY120" s="98"/>
      <c r="BZ120" s="98"/>
      <c r="CA120" s="98"/>
    </row>
    <row r="121" ht="15.75" customHeight="1">
      <c r="A121" s="98"/>
      <c r="B121" s="98"/>
      <c r="C121" s="98"/>
      <c r="D121" s="98"/>
      <c r="E121" s="98"/>
      <c r="F121" s="98"/>
      <c r="G121" s="98"/>
      <c r="H121" s="98"/>
      <c r="I121" s="99"/>
      <c r="J121" s="99"/>
      <c r="K121" s="99"/>
      <c r="L121" s="99"/>
      <c r="M121" s="99"/>
      <c r="N121" s="99"/>
      <c r="O121" s="99"/>
      <c r="P121" s="99"/>
      <c r="Q121" s="99"/>
      <c r="R121" s="99"/>
      <c r="S121" s="98"/>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c r="AS121" s="98"/>
      <c r="AT121" s="98"/>
      <c r="AU121" s="98"/>
      <c r="AV121" s="98"/>
      <c r="AW121" s="98"/>
      <c r="AX121" s="98"/>
      <c r="AY121" s="98"/>
      <c r="AZ121" s="98"/>
      <c r="BA121" s="98"/>
      <c r="BB121" s="98"/>
      <c r="BC121" s="98"/>
      <c r="BD121" s="98"/>
      <c r="BE121" s="98"/>
      <c r="BF121" s="98"/>
      <c r="BG121" s="98"/>
      <c r="BH121" s="98"/>
      <c r="BI121" s="98"/>
      <c r="BJ121" s="98"/>
      <c r="BK121" s="98"/>
      <c r="BL121" s="98"/>
      <c r="BM121" s="98"/>
      <c r="BN121" s="98"/>
      <c r="BO121" s="98"/>
      <c r="BP121" s="98"/>
      <c r="BQ121" s="98"/>
      <c r="BR121" s="98"/>
      <c r="BS121" s="98"/>
      <c r="BT121" s="98"/>
      <c r="BU121" s="98"/>
      <c r="BV121" s="98"/>
      <c r="BW121" s="98"/>
      <c r="BX121" s="98"/>
      <c r="BY121" s="98"/>
      <c r="BZ121" s="98"/>
      <c r="CA121" s="98"/>
    </row>
    <row r="122" ht="15.75" customHeight="1">
      <c r="A122" s="98"/>
      <c r="B122" s="98"/>
      <c r="C122" s="98"/>
      <c r="D122" s="98"/>
      <c r="E122" s="98"/>
      <c r="F122" s="98"/>
      <c r="G122" s="98"/>
      <c r="H122" s="98"/>
      <c r="I122" s="99"/>
      <c r="J122" s="99"/>
      <c r="K122" s="99"/>
      <c r="L122" s="99"/>
      <c r="M122" s="99"/>
      <c r="N122" s="99"/>
      <c r="O122" s="99"/>
      <c r="P122" s="99"/>
      <c r="Q122" s="99"/>
      <c r="R122" s="99"/>
      <c r="S122" s="98"/>
      <c r="T122" s="98"/>
      <c r="U122" s="98"/>
      <c r="V122" s="98"/>
      <c r="W122" s="98"/>
      <c r="X122" s="98"/>
      <c r="Y122" s="98"/>
      <c r="Z122" s="98"/>
      <c r="AA122" s="98"/>
      <c r="AB122" s="98"/>
      <c r="AC122" s="98"/>
      <c r="AD122" s="98"/>
      <c r="AE122" s="98"/>
      <c r="AF122" s="98"/>
      <c r="AG122" s="98"/>
      <c r="AH122" s="98"/>
      <c r="AI122" s="98"/>
      <c r="AJ122" s="98"/>
      <c r="AK122" s="98"/>
      <c r="AL122" s="98"/>
      <c r="AM122" s="98"/>
      <c r="AN122" s="98"/>
      <c r="AO122" s="98"/>
      <c r="AP122" s="98"/>
      <c r="AQ122" s="98"/>
      <c r="AR122" s="98"/>
      <c r="AS122" s="98"/>
      <c r="AT122" s="98"/>
      <c r="AU122" s="98"/>
      <c r="AV122" s="98"/>
      <c r="AW122" s="98"/>
      <c r="AX122" s="98"/>
      <c r="AY122" s="98"/>
      <c r="AZ122" s="98"/>
      <c r="BA122" s="98"/>
      <c r="BB122" s="98"/>
      <c r="BC122" s="98"/>
      <c r="BD122" s="98"/>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row>
    <row r="123" ht="15.75" customHeight="1">
      <c r="A123" s="98"/>
      <c r="B123" s="98"/>
      <c r="C123" s="98"/>
      <c r="D123" s="98"/>
      <c r="E123" s="98"/>
      <c r="F123" s="98"/>
      <c r="G123" s="98"/>
      <c r="H123" s="98"/>
      <c r="I123" s="99"/>
      <c r="J123" s="99"/>
      <c r="K123" s="99"/>
      <c r="L123" s="99"/>
      <c r="M123" s="99"/>
      <c r="N123" s="99"/>
      <c r="O123" s="99"/>
      <c r="P123" s="99"/>
      <c r="Q123" s="99"/>
      <c r="R123" s="99"/>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8"/>
      <c r="AU123" s="98"/>
      <c r="AV123" s="98"/>
      <c r="AW123" s="98"/>
      <c r="AX123" s="98"/>
      <c r="AY123" s="98"/>
      <c r="AZ123" s="98"/>
      <c r="BA123" s="98"/>
      <c r="BB123" s="98"/>
      <c r="BC123" s="98"/>
      <c r="BD123" s="98"/>
      <c r="BE123" s="98"/>
      <c r="BF123" s="98"/>
      <c r="BG123" s="98"/>
      <c r="BH123" s="98"/>
      <c r="BI123" s="98"/>
      <c r="BJ123" s="98"/>
      <c r="BK123" s="98"/>
      <c r="BL123" s="98"/>
      <c r="BM123" s="98"/>
      <c r="BN123" s="98"/>
      <c r="BO123" s="98"/>
      <c r="BP123" s="98"/>
      <c r="BQ123" s="98"/>
      <c r="BR123" s="98"/>
      <c r="BS123" s="98"/>
      <c r="BT123" s="98"/>
      <c r="BU123" s="98"/>
      <c r="BV123" s="98"/>
      <c r="BW123" s="98"/>
      <c r="BX123" s="98"/>
      <c r="BY123" s="98"/>
      <c r="BZ123" s="98"/>
      <c r="CA123" s="98"/>
    </row>
    <row r="124" ht="15.75" customHeight="1">
      <c r="A124" s="98"/>
      <c r="B124" s="98"/>
      <c r="C124" s="98"/>
      <c r="D124" s="98"/>
      <c r="E124" s="98"/>
      <c r="F124" s="98"/>
      <c r="G124" s="98"/>
      <c r="H124" s="98"/>
      <c r="I124" s="99"/>
      <c r="J124" s="99"/>
      <c r="K124" s="99"/>
      <c r="L124" s="99"/>
      <c r="M124" s="99"/>
      <c r="N124" s="99"/>
      <c r="O124" s="99"/>
      <c r="P124" s="99"/>
      <c r="Q124" s="99"/>
      <c r="R124" s="99"/>
      <c r="S124" s="98"/>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c r="AS124" s="98"/>
      <c r="AT124" s="98"/>
      <c r="AU124" s="98"/>
      <c r="AV124" s="98"/>
      <c r="AW124" s="98"/>
      <c r="AX124" s="98"/>
      <c r="AY124" s="98"/>
      <c r="AZ124" s="98"/>
      <c r="BA124" s="98"/>
      <c r="BB124" s="98"/>
      <c r="BC124" s="98"/>
      <c r="BD124" s="98"/>
      <c r="BE124" s="98"/>
      <c r="BF124" s="98"/>
      <c r="BG124" s="98"/>
      <c r="BH124" s="98"/>
      <c r="BI124" s="98"/>
      <c r="BJ124" s="98"/>
      <c r="BK124" s="98"/>
      <c r="BL124" s="98"/>
      <c r="BM124" s="98"/>
      <c r="BN124" s="98"/>
      <c r="BO124" s="98"/>
      <c r="BP124" s="98"/>
      <c r="BQ124" s="98"/>
      <c r="BR124" s="98"/>
      <c r="BS124" s="98"/>
      <c r="BT124" s="98"/>
      <c r="BU124" s="98"/>
      <c r="BV124" s="98"/>
      <c r="BW124" s="98"/>
      <c r="BX124" s="98"/>
      <c r="BY124" s="98"/>
      <c r="BZ124" s="98"/>
      <c r="CA124" s="98"/>
    </row>
    <row r="125" ht="15.75" customHeight="1">
      <c r="A125" s="98"/>
      <c r="B125" s="98"/>
      <c r="C125" s="98"/>
      <c r="D125" s="98"/>
      <c r="E125" s="98"/>
      <c r="F125" s="98"/>
      <c r="G125" s="98"/>
      <c r="H125" s="98"/>
      <c r="I125" s="99"/>
      <c r="J125" s="99"/>
      <c r="K125" s="99"/>
      <c r="L125" s="99"/>
      <c r="M125" s="99"/>
      <c r="N125" s="99"/>
      <c r="O125" s="99"/>
      <c r="P125" s="99"/>
      <c r="Q125" s="99"/>
      <c r="R125" s="99"/>
      <c r="S125" s="98"/>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8"/>
      <c r="AU125" s="98"/>
      <c r="AV125" s="98"/>
      <c r="AW125" s="98"/>
      <c r="AX125" s="98"/>
      <c r="AY125" s="98"/>
      <c r="AZ125" s="98"/>
      <c r="BA125" s="98"/>
      <c r="BB125" s="98"/>
      <c r="BC125" s="98"/>
      <c r="BD125" s="98"/>
      <c r="BE125" s="98"/>
      <c r="BF125" s="98"/>
      <c r="BG125" s="98"/>
      <c r="BH125" s="98"/>
      <c r="BI125" s="98"/>
      <c r="BJ125" s="98"/>
      <c r="BK125" s="98"/>
      <c r="BL125" s="98"/>
      <c r="BM125" s="98"/>
      <c r="BN125" s="98"/>
      <c r="BO125" s="98"/>
      <c r="BP125" s="98"/>
      <c r="BQ125" s="98"/>
      <c r="BR125" s="98"/>
      <c r="BS125" s="98"/>
      <c r="BT125" s="98"/>
      <c r="BU125" s="98"/>
      <c r="BV125" s="98"/>
      <c r="BW125" s="98"/>
      <c r="BX125" s="98"/>
      <c r="BY125" s="98"/>
      <c r="BZ125" s="98"/>
      <c r="CA125" s="98"/>
    </row>
    <row r="126" ht="15.75" customHeight="1">
      <c r="A126" s="98"/>
      <c r="B126" s="98"/>
      <c r="C126" s="98"/>
      <c r="D126" s="98"/>
      <c r="E126" s="98"/>
      <c r="F126" s="98"/>
      <c r="G126" s="98"/>
      <c r="H126" s="98"/>
      <c r="I126" s="99"/>
      <c r="J126" s="99"/>
      <c r="K126" s="99"/>
      <c r="L126" s="99"/>
      <c r="M126" s="99"/>
      <c r="N126" s="99"/>
      <c r="O126" s="99"/>
      <c r="P126" s="99"/>
      <c r="Q126" s="99"/>
      <c r="R126" s="99"/>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8"/>
      <c r="AU126" s="98"/>
      <c r="AV126" s="98"/>
      <c r="AW126" s="98"/>
      <c r="AX126" s="98"/>
      <c r="AY126" s="98"/>
      <c r="AZ126" s="98"/>
      <c r="BA126" s="98"/>
      <c r="BB126" s="98"/>
      <c r="BC126" s="98"/>
      <c r="BD126" s="98"/>
      <c r="BE126" s="98"/>
      <c r="BF126" s="98"/>
      <c r="BG126" s="98"/>
      <c r="BH126" s="98"/>
      <c r="BI126" s="98"/>
      <c r="BJ126" s="98"/>
      <c r="BK126" s="98"/>
      <c r="BL126" s="98"/>
      <c r="BM126" s="98"/>
      <c r="BN126" s="98"/>
      <c r="BO126" s="98"/>
      <c r="BP126" s="98"/>
      <c r="BQ126" s="98"/>
      <c r="BR126" s="98"/>
      <c r="BS126" s="98"/>
      <c r="BT126" s="98"/>
      <c r="BU126" s="98"/>
      <c r="BV126" s="98"/>
      <c r="BW126" s="98"/>
      <c r="BX126" s="98"/>
      <c r="BY126" s="98"/>
      <c r="BZ126" s="98"/>
      <c r="CA126" s="98"/>
    </row>
    <row r="127" ht="15.75" customHeight="1">
      <c r="A127" s="98"/>
      <c r="B127" s="98"/>
      <c r="C127" s="98"/>
      <c r="D127" s="98"/>
      <c r="E127" s="98"/>
      <c r="F127" s="98"/>
      <c r="G127" s="98"/>
      <c r="H127" s="98"/>
      <c r="I127" s="99"/>
      <c r="J127" s="99"/>
      <c r="K127" s="99"/>
      <c r="L127" s="99"/>
      <c r="M127" s="99"/>
      <c r="N127" s="99"/>
      <c r="O127" s="99"/>
      <c r="P127" s="99"/>
      <c r="Q127" s="99"/>
      <c r="R127" s="99"/>
      <c r="S127" s="98"/>
      <c r="T127" s="98"/>
      <c r="U127" s="98"/>
      <c r="V127" s="98"/>
      <c r="W127" s="98"/>
      <c r="X127" s="98"/>
      <c r="Y127" s="98"/>
      <c r="Z127" s="98"/>
      <c r="AA127" s="98"/>
      <c r="AB127" s="98"/>
      <c r="AC127" s="98"/>
      <c r="AD127" s="98"/>
      <c r="AE127" s="98"/>
      <c r="AF127" s="98"/>
      <c r="AG127" s="98"/>
      <c r="AH127" s="98"/>
      <c r="AI127" s="98"/>
      <c r="AJ127" s="98"/>
      <c r="AK127" s="98"/>
      <c r="AL127" s="98"/>
      <c r="AM127" s="98"/>
      <c r="AN127" s="98"/>
      <c r="AO127" s="98"/>
      <c r="AP127" s="98"/>
      <c r="AQ127" s="98"/>
      <c r="AR127" s="98"/>
      <c r="AS127" s="98"/>
      <c r="AT127" s="98"/>
      <c r="AU127" s="98"/>
      <c r="AV127" s="98"/>
      <c r="AW127" s="98"/>
      <c r="AX127" s="98"/>
      <c r="AY127" s="98"/>
      <c r="AZ127" s="98"/>
      <c r="BA127" s="98"/>
      <c r="BB127" s="98"/>
      <c r="BC127" s="98"/>
      <c r="BD127" s="98"/>
      <c r="BE127" s="98"/>
      <c r="BF127" s="98"/>
      <c r="BG127" s="98"/>
      <c r="BH127" s="98"/>
      <c r="BI127" s="98"/>
      <c r="BJ127" s="98"/>
      <c r="BK127" s="98"/>
      <c r="BL127" s="98"/>
      <c r="BM127" s="98"/>
      <c r="BN127" s="98"/>
      <c r="BO127" s="98"/>
      <c r="BP127" s="98"/>
      <c r="BQ127" s="98"/>
      <c r="BR127" s="98"/>
      <c r="BS127" s="98"/>
      <c r="BT127" s="98"/>
      <c r="BU127" s="98"/>
      <c r="BV127" s="98"/>
      <c r="BW127" s="98"/>
      <c r="BX127" s="98"/>
      <c r="BY127" s="98"/>
      <c r="BZ127" s="98"/>
      <c r="CA127" s="98"/>
    </row>
    <row r="128" ht="15.75" customHeight="1">
      <c r="A128" s="98"/>
      <c r="B128" s="98"/>
      <c r="C128" s="98"/>
      <c r="D128" s="98"/>
      <c r="E128" s="98"/>
      <c r="F128" s="98"/>
      <c r="G128" s="98"/>
      <c r="H128" s="98"/>
      <c r="I128" s="99"/>
      <c r="J128" s="99"/>
      <c r="K128" s="99"/>
      <c r="L128" s="99"/>
      <c r="M128" s="99"/>
      <c r="N128" s="99"/>
      <c r="O128" s="99"/>
      <c r="P128" s="99"/>
      <c r="Q128" s="99"/>
      <c r="R128" s="99"/>
      <c r="S128" s="98"/>
      <c r="T128" s="98"/>
      <c r="U128" s="98"/>
      <c r="V128" s="98"/>
      <c r="W128" s="98"/>
      <c r="X128" s="98"/>
      <c r="Y128" s="98"/>
      <c r="Z128" s="98"/>
      <c r="AA128" s="98"/>
      <c r="AB128" s="98"/>
      <c r="AC128" s="98"/>
      <c r="AD128" s="98"/>
      <c r="AE128" s="98"/>
      <c r="AF128" s="98"/>
      <c r="AG128" s="98"/>
      <c r="AH128" s="98"/>
      <c r="AI128" s="98"/>
      <c r="AJ128" s="98"/>
      <c r="AK128" s="98"/>
      <c r="AL128" s="98"/>
      <c r="AM128" s="98"/>
      <c r="AN128" s="98"/>
      <c r="AO128" s="98"/>
      <c r="AP128" s="98"/>
      <c r="AQ128" s="98"/>
      <c r="AR128" s="98"/>
      <c r="AS128" s="98"/>
      <c r="AT128" s="98"/>
      <c r="AU128" s="98"/>
      <c r="AV128" s="98"/>
      <c r="AW128" s="98"/>
      <c r="AX128" s="98"/>
      <c r="AY128" s="98"/>
      <c r="AZ128" s="98"/>
      <c r="BA128" s="98"/>
      <c r="BB128" s="98"/>
      <c r="BC128" s="98"/>
      <c r="BD128" s="98"/>
      <c r="BE128" s="98"/>
      <c r="BF128" s="98"/>
      <c r="BG128" s="98"/>
      <c r="BH128" s="98"/>
      <c r="BI128" s="98"/>
      <c r="BJ128" s="98"/>
      <c r="BK128" s="98"/>
      <c r="BL128" s="98"/>
      <c r="BM128" s="98"/>
      <c r="BN128" s="98"/>
      <c r="BO128" s="98"/>
      <c r="BP128" s="98"/>
      <c r="BQ128" s="98"/>
      <c r="BR128" s="98"/>
      <c r="BS128" s="98"/>
      <c r="BT128" s="98"/>
      <c r="BU128" s="98"/>
      <c r="BV128" s="98"/>
      <c r="BW128" s="98"/>
      <c r="BX128" s="98"/>
      <c r="BY128" s="98"/>
      <c r="BZ128" s="98"/>
      <c r="CA128" s="98"/>
    </row>
    <row r="129" ht="15.75" customHeight="1">
      <c r="A129" s="98"/>
      <c r="B129" s="98"/>
      <c r="C129" s="98"/>
      <c r="D129" s="98"/>
      <c r="E129" s="98"/>
      <c r="F129" s="98"/>
      <c r="G129" s="98"/>
      <c r="H129" s="98"/>
      <c r="I129" s="99"/>
      <c r="J129" s="99"/>
      <c r="K129" s="99"/>
      <c r="L129" s="99"/>
      <c r="M129" s="99"/>
      <c r="N129" s="99"/>
      <c r="O129" s="99"/>
      <c r="P129" s="99"/>
      <c r="Q129" s="99"/>
      <c r="R129" s="99"/>
      <c r="S129" s="98"/>
      <c r="T129" s="98"/>
      <c r="U129" s="98"/>
      <c r="V129" s="98"/>
      <c r="W129" s="98"/>
      <c r="X129" s="98"/>
      <c r="Y129" s="98"/>
      <c r="Z129" s="98"/>
      <c r="AA129" s="98"/>
      <c r="AB129" s="98"/>
      <c r="AC129" s="98"/>
      <c r="AD129" s="98"/>
      <c r="AE129" s="98"/>
      <c r="AF129" s="98"/>
      <c r="AG129" s="98"/>
      <c r="AH129" s="98"/>
      <c r="AI129" s="98"/>
      <c r="AJ129" s="98"/>
      <c r="AK129" s="98"/>
      <c r="AL129" s="98"/>
      <c r="AM129" s="98"/>
      <c r="AN129" s="98"/>
      <c r="AO129" s="98"/>
      <c r="AP129" s="98"/>
      <c r="AQ129" s="98"/>
      <c r="AR129" s="98"/>
      <c r="AS129" s="98"/>
      <c r="AT129" s="98"/>
      <c r="AU129" s="98"/>
      <c r="AV129" s="98"/>
      <c r="AW129" s="98"/>
      <c r="AX129" s="98"/>
      <c r="AY129" s="98"/>
      <c r="AZ129" s="98"/>
      <c r="BA129" s="98"/>
      <c r="BB129" s="98"/>
      <c r="BC129" s="98"/>
      <c r="BD129" s="98"/>
      <c r="BE129" s="98"/>
      <c r="BF129" s="98"/>
      <c r="BG129" s="98"/>
      <c r="BH129" s="98"/>
      <c r="BI129" s="98"/>
      <c r="BJ129" s="98"/>
      <c r="BK129" s="98"/>
      <c r="BL129" s="98"/>
      <c r="BM129" s="98"/>
      <c r="BN129" s="98"/>
      <c r="BO129" s="98"/>
      <c r="BP129" s="98"/>
      <c r="BQ129" s="98"/>
      <c r="BR129" s="98"/>
      <c r="BS129" s="98"/>
      <c r="BT129" s="98"/>
      <c r="BU129" s="98"/>
      <c r="BV129" s="98"/>
      <c r="BW129" s="98"/>
      <c r="BX129" s="98"/>
      <c r="BY129" s="98"/>
      <c r="BZ129" s="98"/>
      <c r="CA129" s="98"/>
    </row>
    <row r="130" ht="15.75" customHeight="1">
      <c r="A130" s="98"/>
      <c r="B130" s="98"/>
      <c r="C130" s="98"/>
      <c r="D130" s="98"/>
      <c r="E130" s="98"/>
      <c r="F130" s="98"/>
      <c r="G130" s="98"/>
      <c r="H130" s="98"/>
      <c r="I130" s="99"/>
      <c r="J130" s="99"/>
      <c r="K130" s="99"/>
      <c r="L130" s="99"/>
      <c r="M130" s="99"/>
      <c r="N130" s="99"/>
      <c r="O130" s="99"/>
      <c r="P130" s="99"/>
      <c r="Q130" s="99"/>
      <c r="R130" s="99"/>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8"/>
      <c r="AU130" s="98"/>
      <c r="AV130" s="98"/>
      <c r="AW130" s="98"/>
      <c r="AX130" s="98"/>
      <c r="AY130" s="98"/>
      <c r="AZ130" s="98"/>
      <c r="BA130" s="98"/>
      <c r="BB130" s="98"/>
      <c r="BC130" s="98"/>
      <c r="BD130" s="98"/>
      <c r="BE130" s="98"/>
      <c r="BF130" s="98"/>
      <c r="BG130" s="98"/>
      <c r="BH130" s="98"/>
      <c r="BI130" s="98"/>
      <c r="BJ130" s="98"/>
      <c r="BK130" s="98"/>
      <c r="BL130" s="98"/>
      <c r="BM130" s="98"/>
      <c r="BN130" s="98"/>
      <c r="BO130" s="98"/>
      <c r="BP130" s="98"/>
      <c r="BQ130" s="98"/>
      <c r="BR130" s="98"/>
      <c r="BS130" s="98"/>
      <c r="BT130" s="98"/>
      <c r="BU130" s="98"/>
      <c r="BV130" s="98"/>
      <c r="BW130" s="98"/>
      <c r="BX130" s="98"/>
      <c r="BY130" s="98"/>
      <c r="BZ130" s="98"/>
      <c r="CA130" s="98"/>
    </row>
    <row r="131" ht="15.75" customHeight="1">
      <c r="A131" s="98"/>
      <c r="B131" s="98"/>
      <c r="C131" s="98"/>
      <c r="D131" s="98"/>
      <c r="E131" s="98"/>
      <c r="F131" s="98"/>
      <c r="G131" s="98"/>
      <c r="H131" s="98"/>
      <c r="I131" s="99"/>
      <c r="J131" s="99"/>
      <c r="K131" s="99"/>
      <c r="L131" s="99"/>
      <c r="M131" s="99"/>
      <c r="N131" s="99"/>
      <c r="O131" s="99"/>
      <c r="P131" s="99"/>
      <c r="Q131" s="99"/>
      <c r="R131" s="99"/>
      <c r="S131" s="98"/>
      <c r="T131" s="98"/>
      <c r="U131" s="98"/>
      <c r="V131" s="98"/>
      <c r="W131" s="98"/>
      <c r="X131" s="98"/>
      <c r="Y131" s="98"/>
      <c r="Z131" s="98"/>
      <c r="AA131" s="98"/>
      <c r="AB131" s="98"/>
      <c r="AC131" s="98"/>
      <c r="AD131" s="98"/>
      <c r="AE131" s="98"/>
      <c r="AF131" s="98"/>
      <c r="AG131" s="98"/>
      <c r="AH131" s="98"/>
      <c r="AI131" s="98"/>
      <c r="AJ131" s="98"/>
      <c r="AK131" s="98"/>
      <c r="AL131" s="98"/>
      <c r="AM131" s="98"/>
      <c r="AN131" s="98"/>
      <c r="AO131" s="98"/>
      <c r="AP131" s="98"/>
      <c r="AQ131" s="98"/>
      <c r="AR131" s="98"/>
      <c r="AS131" s="98"/>
      <c r="AT131" s="98"/>
      <c r="AU131" s="98"/>
      <c r="AV131" s="98"/>
      <c r="AW131" s="98"/>
      <c r="AX131" s="98"/>
      <c r="AY131" s="98"/>
      <c r="AZ131" s="98"/>
      <c r="BA131" s="98"/>
      <c r="BB131" s="98"/>
      <c r="BC131" s="98"/>
      <c r="BD131" s="98"/>
      <c r="BE131" s="98"/>
      <c r="BF131" s="98"/>
      <c r="BG131" s="98"/>
      <c r="BH131" s="98"/>
      <c r="BI131" s="98"/>
      <c r="BJ131" s="98"/>
      <c r="BK131" s="98"/>
      <c r="BL131" s="98"/>
      <c r="BM131" s="98"/>
      <c r="BN131" s="98"/>
      <c r="BO131" s="98"/>
      <c r="BP131" s="98"/>
      <c r="BQ131" s="98"/>
      <c r="BR131" s="98"/>
      <c r="BS131" s="98"/>
      <c r="BT131" s="98"/>
      <c r="BU131" s="98"/>
      <c r="BV131" s="98"/>
      <c r="BW131" s="98"/>
      <c r="BX131" s="98"/>
      <c r="BY131" s="98"/>
      <c r="BZ131" s="98"/>
      <c r="CA131" s="98"/>
    </row>
    <row r="132" ht="15.75" customHeight="1">
      <c r="A132" s="98"/>
      <c r="B132" s="98"/>
      <c r="C132" s="98"/>
      <c r="D132" s="98"/>
      <c r="E132" s="98"/>
      <c r="F132" s="98"/>
      <c r="G132" s="98"/>
      <c r="H132" s="98"/>
      <c r="I132" s="99"/>
      <c r="J132" s="99"/>
      <c r="K132" s="99"/>
      <c r="L132" s="99"/>
      <c r="M132" s="99"/>
      <c r="N132" s="99"/>
      <c r="O132" s="99"/>
      <c r="P132" s="99"/>
      <c r="Q132" s="99"/>
      <c r="R132" s="99"/>
      <c r="S132" s="98"/>
      <c r="T132" s="98"/>
      <c r="U132" s="98"/>
      <c r="V132" s="98"/>
      <c r="W132" s="98"/>
      <c r="X132" s="98"/>
      <c r="Y132" s="98"/>
      <c r="Z132" s="98"/>
      <c r="AA132" s="98"/>
      <c r="AB132" s="98"/>
      <c r="AC132" s="98"/>
      <c r="AD132" s="98"/>
      <c r="AE132" s="98"/>
      <c r="AF132" s="98"/>
      <c r="AG132" s="98"/>
      <c r="AH132" s="98"/>
      <c r="AI132" s="98"/>
      <c r="AJ132" s="98"/>
      <c r="AK132" s="98"/>
      <c r="AL132" s="98"/>
      <c r="AM132" s="98"/>
      <c r="AN132" s="98"/>
      <c r="AO132" s="98"/>
      <c r="AP132" s="98"/>
      <c r="AQ132" s="98"/>
      <c r="AR132" s="98"/>
      <c r="AS132" s="98"/>
      <c r="AT132" s="98"/>
      <c r="AU132" s="98"/>
      <c r="AV132" s="98"/>
      <c r="AW132" s="98"/>
      <c r="AX132" s="98"/>
      <c r="AY132" s="98"/>
      <c r="AZ132" s="98"/>
      <c r="BA132" s="98"/>
      <c r="BB132" s="98"/>
      <c r="BC132" s="98"/>
      <c r="BD132" s="98"/>
      <c r="BE132" s="98"/>
      <c r="BF132" s="98"/>
      <c r="BG132" s="98"/>
      <c r="BH132" s="98"/>
      <c r="BI132" s="98"/>
      <c r="BJ132" s="98"/>
      <c r="BK132" s="98"/>
      <c r="BL132" s="98"/>
      <c r="BM132" s="98"/>
      <c r="BN132" s="98"/>
      <c r="BO132" s="98"/>
      <c r="BP132" s="98"/>
      <c r="BQ132" s="98"/>
      <c r="BR132" s="98"/>
      <c r="BS132" s="98"/>
      <c r="BT132" s="98"/>
      <c r="BU132" s="98"/>
      <c r="BV132" s="98"/>
      <c r="BW132" s="98"/>
      <c r="BX132" s="98"/>
      <c r="BY132" s="98"/>
      <c r="BZ132" s="98"/>
      <c r="CA132" s="98"/>
    </row>
    <row r="133" ht="15.75" customHeight="1">
      <c r="A133" s="98"/>
      <c r="B133" s="98"/>
      <c r="C133" s="98"/>
      <c r="D133" s="98"/>
      <c r="E133" s="98"/>
      <c r="F133" s="98"/>
      <c r="G133" s="98"/>
      <c r="H133" s="98"/>
      <c r="I133" s="99"/>
      <c r="J133" s="99"/>
      <c r="K133" s="99"/>
      <c r="L133" s="99"/>
      <c r="M133" s="99"/>
      <c r="N133" s="99"/>
      <c r="O133" s="99"/>
      <c r="P133" s="99"/>
      <c r="Q133" s="99"/>
      <c r="R133" s="99"/>
      <c r="S133" s="98"/>
      <c r="T133" s="98"/>
      <c r="U133" s="98"/>
      <c r="V133" s="98"/>
      <c r="W133" s="98"/>
      <c r="X133" s="98"/>
      <c r="Y133" s="98"/>
      <c r="Z133" s="98"/>
      <c r="AA133" s="98"/>
      <c r="AB133" s="98"/>
      <c r="AC133" s="98"/>
      <c r="AD133" s="98"/>
      <c r="AE133" s="98"/>
      <c r="AF133" s="98"/>
      <c r="AG133" s="98"/>
      <c r="AH133" s="98"/>
      <c r="AI133" s="98"/>
      <c r="AJ133" s="98"/>
      <c r="AK133" s="98"/>
      <c r="AL133" s="98"/>
      <c r="AM133" s="98"/>
      <c r="AN133" s="98"/>
      <c r="AO133" s="98"/>
      <c r="AP133" s="98"/>
      <c r="AQ133" s="98"/>
      <c r="AR133" s="98"/>
      <c r="AS133" s="98"/>
      <c r="AT133" s="98"/>
      <c r="AU133" s="98"/>
      <c r="AV133" s="98"/>
      <c r="AW133" s="98"/>
      <c r="AX133" s="98"/>
      <c r="AY133" s="98"/>
      <c r="AZ133" s="98"/>
      <c r="BA133" s="98"/>
      <c r="BB133" s="98"/>
      <c r="BC133" s="98"/>
      <c r="BD133" s="98"/>
      <c r="BE133" s="98"/>
      <c r="BF133" s="98"/>
      <c r="BG133" s="98"/>
      <c r="BH133" s="98"/>
      <c r="BI133" s="98"/>
      <c r="BJ133" s="98"/>
      <c r="BK133" s="98"/>
      <c r="BL133" s="98"/>
      <c r="BM133" s="98"/>
      <c r="BN133" s="98"/>
      <c r="BO133" s="98"/>
      <c r="BP133" s="98"/>
      <c r="BQ133" s="98"/>
      <c r="BR133" s="98"/>
      <c r="BS133" s="98"/>
      <c r="BT133" s="98"/>
      <c r="BU133" s="98"/>
      <c r="BV133" s="98"/>
      <c r="BW133" s="98"/>
      <c r="BX133" s="98"/>
      <c r="BY133" s="98"/>
      <c r="BZ133" s="98"/>
      <c r="CA133" s="98"/>
    </row>
    <row r="134" ht="15.75" customHeight="1">
      <c r="A134" s="98"/>
      <c r="B134" s="98"/>
      <c r="C134" s="98"/>
      <c r="D134" s="98"/>
      <c r="E134" s="98"/>
      <c r="F134" s="98"/>
      <c r="G134" s="98"/>
      <c r="H134" s="98"/>
      <c r="I134" s="99"/>
      <c r="J134" s="99"/>
      <c r="K134" s="99"/>
      <c r="L134" s="99"/>
      <c r="M134" s="99"/>
      <c r="N134" s="99"/>
      <c r="O134" s="99"/>
      <c r="P134" s="99"/>
      <c r="Q134" s="99"/>
      <c r="R134" s="99"/>
      <c r="S134" s="98"/>
      <c r="T134" s="98"/>
      <c r="U134" s="98"/>
      <c r="V134" s="98"/>
      <c r="W134" s="98"/>
      <c r="X134" s="98"/>
      <c r="Y134" s="98"/>
      <c r="Z134" s="98"/>
      <c r="AA134" s="98"/>
      <c r="AB134" s="98"/>
      <c r="AC134" s="98"/>
      <c r="AD134" s="98"/>
      <c r="AE134" s="98"/>
      <c r="AF134" s="98"/>
      <c r="AG134" s="98"/>
      <c r="AH134" s="98"/>
      <c r="AI134" s="98"/>
      <c r="AJ134" s="98"/>
      <c r="AK134" s="98"/>
      <c r="AL134" s="98"/>
      <c r="AM134" s="98"/>
      <c r="AN134" s="98"/>
      <c r="AO134" s="98"/>
      <c r="AP134" s="98"/>
      <c r="AQ134" s="98"/>
      <c r="AR134" s="98"/>
      <c r="AS134" s="98"/>
      <c r="AT134" s="98"/>
      <c r="AU134" s="98"/>
      <c r="AV134" s="98"/>
      <c r="AW134" s="98"/>
      <c r="AX134" s="98"/>
      <c r="AY134" s="98"/>
      <c r="AZ134" s="98"/>
      <c r="BA134" s="98"/>
      <c r="BB134" s="98"/>
      <c r="BC134" s="98"/>
      <c r="BD134" s="98"/>
      <c r="BE134" s="98"/>
      <c r="BF134" s="98"/>
      <c r="BG134" s="98"/>
      <c r="BH134" s="98"/>
      <c r="BI134" s="98"/>
      <c r="BJ134" s="98"/>
      <c r="BK134" s="98"/>
      <c r="BL134" s="98"/>
      <c r="BM134" s="98"/>
      <c r="BN134" s="98"/>
      <c r="BO134" s="98"/>
      <c r="BP134" s="98"/>
      <c r="BQ134" s="98"/>
      <c r="BR134" s="98"/>
      <c r="BS134" s="98"/>
      <c r="BT134" s="98"/>
      <c r="BU134" s="98"/>
      <c r="BV134" s="98"/>
      <c r="BW134" s="98"/>
      <c r="BX134" s="98"/>
      <c r="BY134" s="98"/>
      <c r="BZ134" s="98"/>
      <c r="CA134" s="98"/>
    </row>
    <row r="135" ht="15.75" customHeight="1">
      <c r="A135" s="98"/>
      <c r="B135" s="98"/>
      <c r="C135" s="98"/>
      <c r="D135" s="98"/>
      <c r="E135" s="98"/>
      <c r="F135" s="98"/>
      <c r="G135" s="98"/>
      <c r="H135" s="98"/>
      <c r="I135" s="99"/>
      <c r="J135" s="99"/>
      <c r="K135" s="99"/>
      <c r="L135" s="99"/>
      <c r="M135" s="99"/>
      <c r="N135" s="99"/>
      <c r="O135" s="99"/>
      <c r="P135" s="99"/>
      <c r="Q135" s="99"/>
      <c r="R135" s="99"/>
      <c r="S135" s="98"/>
      <c r="T135" s="98"/>
      <c r="U135" s="98"/>
      <c r="V135" s="98"/>
      <c r="W135" s="98"/>
      <c r="X135" s="98"/>
      <c r="Y135" s="98"/>
      <c r="Z135" s="98"/>
      <c r="AA135" s="98"/>
      <c r="AB135" s="98"/>
      <c r="AC135" s="98"/>
      <c r="AD135" s="98"/>
      <c r="AE135" s="98"/>
      <c r="AF135" s="98"/>
      <c r="AG135" s="98"/>
      <c r="AH135" s="98"/>
      <c r="AI135" s="98"/>
      <c r="AJ135" s="98"/>
      <c r="AK135" s="98"/>
      <c r="AL135" s="98"/>
      <c r="AM135" s="98"/>
      <c r="AN135" s="98"/>
      <c r="AO135" s="98"/>
      <c r="AP135" s="98"/>
      <c r="AQ135" s="98"/>
      <c r="AR135" s="98"/>
      <c r="AS135" s="98"/>
      <c r="AT135" s="98"/>
      <c r="AU135" s="98"/>
      <c r="AV135" s="98"/>
      <c r="AW135" s="98"/>
      <c r="AX135" s="98"/>
      <c r="AY135" s="98"/>
      <c r="AZ135" s="98"/>
      <c r="BA135" s="98"/>
      <c r="BB135" s="98"/>
      <c r="BC135" s="98"/>
      <c r="BD135" s="98"/>
      <c r="BE135" s="98"/>
      <c r="BF135" s="98"/>
      <c r="BG135" s="98"/>
      <c r="BH135" s="98"/>
      <c r="BI135" s="98"/>
      <c r="BJ135" s="98"/>
      <c r="BK135" s="98"/>
      <c r="BL135" s="98"/>
      <c r="BM135" s="98"/>
      <c r="BN135" s="98"/>
      <c r="BO135" s="98"/>
      <c r="BP135" s="98"/>
      <c r="BQ135" s="98"/>
      <c r="BR135" s="98"/>
      <c r="BS135" s="98"/>
      <c r="BT135" s="98"/>
      <c r="BU135" s="98"/>
      <c r="BV135" s="98"/>
      <c r="BW135" s="98"/>
      <c r="BX135" s="98"/>
      <c r="BY135" s="98"/>
      <c r="BZ135" s="98"/>
      <c r="CA135" s="98"/>
    </row>
    <row r="136" ht="15.75" customHeight="1">
      <c r="A136" s="98"/>
      <c r="B136" s="98"/>
      <c r="C136" s="98"/>
      <c r="D136" s="98"/>
      <c r="E136" s="98"/>
      <c r="F136" s="98"/>
      <c r="G136" s="98"/>
      <c r="H136" s="98"/>
      <c r="I136" s="99"/>
      <c r="J136" s="99"/>
      <c r="K136" s="99"/>
      <c r="L136" s="99"/>
      <c r="M136" s="99"/>
      <c r="N136" s="99"/>
      <c r="O136" s="99"/>
      <c r="P136" s="99"/>
      <c r="Q136" s="99"/>
      <c r="R136" s="99"/>
      <c r="S136" s="98"/>
      <c r="T136" s="98"/>
      <c r="U136" s="98"/>
      <c r="V136" s="98"/>
      <c r="W136" s="98"/>
      <c r="X136" s="98"/>
      <c r="Y136" s="98"/>
      <c r="Z136" s="98"/>
      <c r="AA136" s="98"/>
      <c r="AB136" s="98"/>
      <c r="AC136" s="98"/>
      <c r="AD136" s="98"/>
      <c r="AE136" s="98"/>
      <c r="AF136" s="98"/>
      <c r="AG136" s="98"/>
      <c r="AH136" s="98"/>
      <c r="AI136" s="98"/>
      <c r="AJ136" s="98"/>
      <c r="AK136" s="98"/>
      <c r="AL136" s="98"/>
      <c r="AM136" s="98"/>
      <c r="AN136" s="98"/>
      <c r="AO136" s="98"/>
      <c r="AP136" s="98"/>
      <c r="AQ136" s="98"/>
      <c r="AR136" s="98"/>
      <c r="AS136" s="98"/>
      <c r="AT136" s="98"/>
      <c r="AU136" s="98"/>
      <c r="AV136" s="98"/>
      <c r="AW136" s="98"/>
      <c r="AX136" s="98"/>
      <c r="AY136" s="98"/>
      <c r="AZ136" s="98"/>
      <c r="BA136" s="98"/>
      <c r="BB136" s="98"/>
      <c r="BC136" s="98"/>
      <c r="BD136" s="98"/>
      <c r="BE136" s="98"/>
      <c r="BF136" s="98"/>
      <c r="BG136" s="98"/>
      <c r="BH136" s="98"/>
      <c r="BI136" s="98"/>
      <c r="BJ136" s="98"/>
      <c r="BK136" s="98"/>
      <c r="BL136" s="98"/>
      <c r="BM136" s="98"/>
      <c r="BN136" s="98"/>
      <c r="BO136" s="98"/>
      <c r="BP136" s="98"/>
      <c r="BQ136" s="98"/>
      <c r="BR136" s="98"/>
      <c r="BS136" s="98"/>
      <c r="BT136" s="98"/>
      <c r="BU136" s="98"/>
      <c r="BV136" s="98"/>
      <c r="BW136" s="98"/>
      <c r="BX136" s="98"/>
      <c r="BY136" s="98"/>
      <c r="BZ136" s="98"/>
      <c r="CA136" s="98"/>
    </row>
    <row r="137" ht="15.75" customHeight="1">
      <c r="A137" s="98"/>
      <c r="B137" s="98"/>
      <c r="C137" s="98"/>
      <c r="D137" s="98"/>
      <c r="E137" s="98"/>
      <c r="F137" s="98"/>
      <c r="G137" s="98"/>
      <c r="H137" s="98"/>
      <c r="I137" s="99"/>
      <c r="J137" s="99"/>
      <c r="K137" s="99"/>
      <c r="L137" s="99"/>
      <c r="M137" s="99"/>
      <c r="N137" s="99"/>
      <c r="O137" s="99"/>
      <c r="P137" s="99"/>
      <c r="Q137" s="99"/>
      <c r="R137" s="99"/>
      <c r="S137" s="98"/>
      <c r="T137" s="98"/>
      <c r="U137" s="98"/>
      <c r="V137" s="98"/>
      <c r="W137" s="98"/>
      <c r="X137" s="98"/>
      <c r="Y137" s="98"/>
      <c r="Z137" s="98"/>
      <c r="AA137" s="98"/>
      <c r="AB137" s="98"/>
      <c r="AC137" s="98"/>
      <c r="AD137" s="98"/>
      <c r="AE137" s="98"/>
      <c r="AF137" s="98"/>
      <c r="AG137" s="98"/>
      <c r="AH137" s="98"/>
      <c r="AI137" s="98"/>
      <c r="AJ137" s="98"/>
      <c r="AK137" s="98"/>
      <c r="AL137" s="98"/>
      <c r="AM137" s="98"/>
      <c r="AN137" s="98"/>
      <c r="AO137" s="98"/>
      <c r="AP137" s="98"/>
      <c r="AQ137" s="98"/>
      <c r="AR137" s="98"/>
      <c r="AS137" s="98"/>
      <c r="AT137" s="98"/>
      <c r="AU137" s="98"/>
      <c r="AV137" s="98"/>
      <c r="AW137" s="98"/>
      <c r="AX137" s="98"/>
      <c r="AY137" s="98"/>
      <c r="AZ137" s="98"/>
      <c r="BA137" s="98"/>
      <c r="BB137" s="98"/>
      <c r="BC137" s="98"/>
      <c r="BD137" s="98"/>
      <c r="BE137" s="98"/>
      <c r="BF137" s="98"/>
      <c r="BG137" s="98"/>
      <c r="BH137" s="98"/>
      <c r="BI137" s="98"/>
      <c r="BJ137" s="98"/>
      <c r="BK137" s="98"/>
      <c r="BL137" s="98"/>
      <c r="BM137" s="98"/>
      <c r="BN137" s="98"/>
      <c r="BO137" s="98"/>
      <c r="BP137" s="98"/>
      <c r="BQ137" s="98"/>
      <c r="BR137" s="98"/>
      <c r="BS137" s="98"/>
      <c r="BT137" s="98"/>
      <c r="BU137" s="98"/>
      <c r="BV137" s="98"/>
      <c r="BW137" s="98"/>
      <c r="BX137" s="98"/>
      <c r="BY137" s="98"/>
      <c r="BZ137" s="98"/>
      <c r="CA137" s="98"/>
    </row>
    <row r="138" ht="15.75" customHeight="1">
      <c r="A138" s="98"/>
      <c r="B138" s="98"/>
      <c r="C138" s="98"/>
      <c r="D138" s="98"/>
      <c r="E138" s="98"/>
      <c r="F138" s="98"/>
      <c r="G138" s="98"/>
      <c r="H138" s="98"/>
      <c r="I138" s="99"/>
      <c r="J138" s="99"/>
      <c r="K138" s="99"/>
      <c r="L138" s="99"/>
      <c r="M138" s="99"/>
      <c r="N138" s="99"/>
      <c r="O138" s="99"/>
      <c r="P138" s="99"/>
      <c r="Q138" s="99"/>
      <c r="R138" s="99"/>
      <c r="S138" s="98"/>
      <c r="T138" s="98"/>
      <c r="U138" s="98"/>
      <c r="V138" s="98"/>
      <c r="W138" s="98"/>
      <c r="X138" s="98"/>
      <c r="Y138" s="98"/>
      <c r="Z138" s="98"/>
      <c r="AA138" s="98"/>
      <c r="AB138" s="98"/>
      <c r="AC138" s="98"/>
      <c r="AD138" s="98"/>
      <c r="AE138" s="98"/>
      <c r="AF138" s="98"/>
      <c r="AG138" s="98"/>
      <c r="AH138" s="98"/>
      <c r="AI138" s="98"/>
      <c r="AJ138" s="98"/>
      <c r="AK138" s="98"/>
      <c r="AL138" s="98"/>
      <c r="AM138" s="98"/>
      <c r="AN138" s="98"/>
      <c r="AO138" s="98"/>
      <c r="AP138" s="98"/>
      <c r="AQ138" s="98"/>
      <c r="AR138" s="98"/>
      <c r="AS138" s="98"/>
      <c r="AT138" s="98"/>
      <c r="AU138" s="98"/>
      <c r="AV138" s="98"/>
      <c r="AW138" s="98"/>
      <c r="AX138" s="98"/>
      <c r="AY138" s="98"/>
      <c r="AZ138" s="98"/>
      <c r="BA138" s="98"/>
      <c r="BB138" s="98"/>
      <c r="BC138" s="98"/>
      <c r="BD138" s="98"/>
      <c r="BE138" s="98"/>
      <c r="BF138" s="98"/>
      <c r="BG138" s="98"/>
      <c r="BH138" s="98"/>
      <c r="BI138" s="98"/>
      <c r="BJ138" s="98"/>
      <c r="BK138" s="98"/>
      <c r="BL138" s="98"/>
      <c r="BM138" s="98"/>
      <c r="BN138" s="98"/>
      <c r="BO138" s="98"/>
      <c r="BP138" s="98"/>
      <c r="BQ138" s="98"/>
      <c r="BR138" s="98"/>
      <c r="BS138" s="98"/>
      <c r="BT138" s="98"/>
      <c r="BU138" s="98"/>
      <c r="BV138" s="98"/>
      <c r="BW138" s="98"/>
      <c r="BX138" s="98"/>
      <c r="BY138" s="98"/>
      <c r="BZ138" s="98"/>
      <c r="CA138" s="98"/>
    </row>
    <row r="139" ht="15.75" customHeight="1">
      <c r="A139" s="98"/>
      <c r="B139" s="98"/>
      <c r="C139" s="98"/>
      <c r="D139" s="98"/>
      <c r="E139" s="98"/>
      <c r="F139" s="98"/>
      <c r="G139" s="98"/>
      <c r="H139" s="98"/>
      <c r="I139" s="99"/>
      <c r="J139" s="99"/>
      <c r="K139" s="99"/>
      <c r="L139" s="99"/>
      <c r="M139" s="99"/>
      <c r="N139" s="99"/>
      <c r="O139" s="99"/>
      <c r="P139" s="99"/>
      <c r="Q139" s="99"/>
      <c r="R139" s="99"/>
      <c r="S139" s="98"/>
      <c r="T139" s="98"/>
      <c r="U139" s="98"/>
      <c r="V139" s="98"/>
      <c r="W139" s="98"/>
      <c r="X139" s="98"/>
      <c r="Y139" s="98"/>
      <c r="Z139" s="98"/>
      <c r="AA139" s="98"/>
      <c r="AB139" s="98"/>
      <c r="AC139" s="98"/>
      <c r="AD139" s="98"/>
      <c r="AE139" s="98"/>
      <c r="AF139" s="98"/>
      <c r="AG139" s="98"/>
      <c r="AH139" s="98"/>
      <c r="AI139" s="98"/>
      <c r="AJ139" s="98"/>
      <c r="AK139" s="98"/>
      <c r="AL139" s="98"/>
      <c r="AM139" s="98"/>
      <c r="AN139" s="98"/>
      <c r="AO139" s="98"/>
      <c r="AP139" s="98"/>
      <c r="AQ139" s="98"/>
      <c r="AR139" s="98"/>
      <c r="AS139" s="98"/>
      <c r="AT139" s="98"/>
      <c r="AU139" s="98"/>
      <c r="AV139" s="98"/>
      <c r="AW139" s="98"/>
      <c r="AX139" s="98"/>
      <c r="AY139" s="98"/>
      <c r="AZ139" s="98"/>
      <c r="BA139" s="98"/>
      <c r="BB139" s="98"/>
      <c r="BC139" s="98"/>
      <c r="BD139" s="98"/>
      <c r="BE139" s="98"/>
      <c r="BF139" s="98"/>
      <c r="BG139" s="98"/>
      <c r="BH139" s="98"/>
      <c r="BI139" s="98"/>
      <c r="BJ139" s="98"/>
      <c r="BK139" s="98"/>
      <c r="BL139" s="98"/>
      <c r="BM139" s="98"/>
      <c r="BN139" s="98"/>
      <c r="BO139" s="98"/>
      <c r="BP139" s="98"/>
      <c r="BQ139" s="98"/>
      <c r="BR139" s="98"/>
      <c r="BS139" s="98"/>
      <c r="BT139" s="98"/>
      <c r="BU139" s="98"/>
      <c r="BV139" s="98"/>
      <c r="BW139" s="98"/>
      <c r="BX139" s="98"/>
      <c r="BY139" s="98"/>
      <c r="BZ139" s="98"/>
      <c r="CA139" s="98"/>
    </row>
    <row r="140" ht="15.75" customHeight="1">
      <c r="A140" s="98"/>
      <c r="B140" s="98"/>
      <c r="C140" s="98"/>
      <c r="D140" s="98"/>
      <c r="E140" s="98"/>
      <c r="F140" s="98"/>
      <c r="G140" s="98"/>
      <c r="H140" s="98"/>
      <c r="I140" s="99"/>
      <c r="J140" s="99"/>
      <c r="K140" s="99"/>
      <c r="L140" s="99"/>
      <c r="M140" s="99"/>
      <c r="N140" s="99"/>
      <c r="O140" s="99"/>
      <c r="P140" s="99"/>
      <c r="Q140" s="99"/>
      <c r="R140" s="99"/>
      <c r="S140" s="98"/>
      <c r="T140" s="98"/>
      <c r="U140" s="98"/>
      <c r="V140" s="98"/>
      <c r="W140" s="98"/>
      <c r="X140" s="98"/>
      <c r="Y140" s="98"/>
      <c r="Z140" s="98"/>
      <c r="AA140" s="98"/>
      <c r="AB140" s="98"/>
      <c r="AC140" s="98"/>
      <c r="AD140" s="98"/>
      <c r="AE140" s="98"/>
      <c r="AF140" s="98"/>
      <c r="AG140" s="98"/>
      <c r="AH140" s="98"/>
      <c r="AI140" s="98"/>
      <c r="AJ140" s="98"/>
      <c r="AK140" s="98"/>
      <c r="AL140" s="98"/>
      <c r="AM140" s="98"/>
      <c r="AN140" s="98"/>
      <c r="AO140" s="98"/>
      <c r="AP140" s="98"/>
      <c r="AQ140" s="98"/>
      <c r="AR140" s="98"/>
      <c r="AS140" s="98"/>
      <c r="AT140" s="98"/>
      <c r="AU140" s="98"/>
      <c r="AV140" s="98"/>
      <c r="AW140" s="98"/>
      <c r="AX140" s="98"/>
      <c r="AY140" s="98"/>
      <c r="AZ140" s="98"/>
      <c r="BA140" s="98"/>
      <c r="BB140" s="98"/>
      <c r="BC140" s="98"/>
      <c r="BD140" s="98"/>
      <c r="BE140" s="98"/>
      <c r="BF140" s="98"/>
      <c r="BG140" s="98"/>
      <c r="BH140" s="98"/>
      <c r="BI140" s="98"/>
      <c r="BJ140" s="98"/>
      <c r="BK140" s="98"/>
      <c r="BL140" s="98"/>
      <c r="BM140" s="98"/>
      <c r="BN140" s="98"/>
      <c r="BO140" s="98"/>
      <c r="BP140" s="98"/>
      <c r="BQ140" s="98"/>
      <c r="BR140" s="98"/>
      <c r="BS140" s="98"/>
      <c r="BT140" s="98"/>
      <c r="BU140" s="98"/>
      <c r="BV140" s="98"/>
      <c r="BW140" s="98"/>
      <c r="BX140" s="98"/>
      <c r="BY140" s="98"/>
      <c r="BZ140" s="98"/>
      <c r="CA140" s="98"/>
    </row>
    <row r="141" ht="15.75" customHeight="1">
      <c r="A141" s="98"/>
      <c r="B141" s="98"/>
      <c r="C141" s="98"/>
      <c r="D141" s="98"/>
      <c r="E141" s="98"/>
      <c r="F141" s="98"/>
      <c r="G141" s="98"/>
      <c r="H141" s="98"/>
      <c r="I141" s="99"/>
      <c r="J141" s="99"/>
      <c r="K141" s="99"/>
      <c r="L141" s="99"/>
      <c r="M141" s="99"/>
      <c r="N141" s="99"/>
      <c r="O141" s="99"/>
      <c r="P141" s="99"/>
      <c r="Q141" s="99"/>
      <c r="R141" s="99"/>
      <c r="S141" s="98"/>
      <c r="T141" s="98"/>
      <c r="U141" s="98"/>
      <c r="V141" s="98"/>
      <c r="W141" s="98"/>
      <c r="X141" s="98"/>
      <c r="Y141" s="98"/>
      <c r="Z141" s="98"/>
      <c r="AA141" s="98"/>
      <c r="AB141" s="98"/>
      <c r="AC141" s="98"/>
      <c r="AD141" s="98"/>
      <c r="AE141" s="98"/>
      <c r="AF141" s="98"/>
      <c r="AG141" s="98"/>
      <c r="AH141" s="98"/>
      <c r="AI141" s="98"/>
      <c r="AJ141" s="98"/>
      <c r="AK141" s="98"/>
      <c r="AL141" s="98"/>
      <c r="AM141" s="98"/>
      <c r="AN141" s="98"/>
      <c r="AO141" s="98"/>
      <c r="AP141" s="98"/>
      <c r="AQ141" s="98"/>
      <c r="AR141" s="98"/>
      <c r="AS141" s="98"/>
      <c r="AT141" s="98"/>
      <c r="AU141" s="98"/>
      <c r="AV141" s="98"/>
      <c r="AW141" s="98"/>
      <c r="AX141" s="98"/>
      <c r="AY141" s="98"/>
      <c r="AZ141" s="98"/>
      <c r="BA141" s="98"/>
      <c r="BB141" s="98"/>
      <c r="BC141" s="98"/>
      <c r="BD141" s="98"/>
      <c r="BE141" s="98"/>
      <c r="BF141" s="98"/>
      <c r="BG141" s="98"/>
      <c r="BH141" s="98"/>
      <c r="BI141" s="98"/>
      <c r="BJ141" s="98"/>
      <c r="BK141" s="98"/>
      <c r="BL141" s="98"/>
      <c r="BM141" s="98"/>
      <c r="BN141" s="98"/>
      <c r="BO141" s="98"/>
      <c r="BP141" s="98"/>
      <c r="BQ141" s="98"/>
      <c r="BR141" s="98"/>
      <c r="BS141" s="98"/>
      <c r="BT141" s="98"/>
      <c r="BU141" s="98"/>
      <c r="BV141" s="98"/>
      <c r="BW141" s="98"/>
      <c r="BX141" s="98"/>
      <c r="BY141" s="98"/>
      <c r="BZ141" s="98"/>
      <c r="CA141" s="98"/>
    </row>
    <row r="142" ht="15.75" customHeight="1">
      <c r="A142" s="98"/>
      <c r="B142" s="98"/>
      <c r="C142" s="98"/>
      <c r="D142" s="98"/>
      <c r="E142" s="98"/>
      <c r="F142" s="98"/>
      <c r="G142" s="98"/>
      <c r="H142" s="98"/>
      <c r="I142" s="99"/>
      <c r="J142" s="99"/>
      <c r="K142" s="99"/>
      <c r="L142" s="99"/>
      <c r="M142" s="99"/>
      <c r="N142" s="99"/>
      <c r="O142" s="99"/>
      <c r="P142" s="99"/>
      <c r="Q142" s="99"/>
      <c r="R142" s="99"/>
      <c r="S142" s="98"/>
      <c r="T142" s="98"/>
      <c r="U142" s="98"/>
      <c r="V142" s="98"/>
      <c r="W142" s="98"/>
      <c r="X142" s="98"/>
      <c r="Y142" s="98"/>
      <c r="Z142" s="98"/>
      <c r="AA142" s="98"/>
      <c r="AB142" s="98"/>
      <c r="AC142" s="98"/>
      <c r="AD142" s="98"/>
      <c r="AE142" s="98"/>
      <c r="AF142" s="98"/>
      <c r="AG142" s="98"/>
      <c r="AH142" s="98"/>
      <c r="AI142" s="98"/>
      <c r="AJ142" s="98"/>
      <c r="AK142" s="98"/>
      <c r="AL142" s="98"/>
      <c r="AM142" s="98"/>
      <c r="AN142" s="98"/>
      <c r="AO142" s="98"/>
      <c r="AP142" s="98"/>
      <c r="AQ142" s="98"/>
      <c r="AR142" s="98"/>
      <c r="AS142" s="98"/>
      <c r="AT142" s="98"/>
      <c r="AU142" s="98"/>
      <c r="AV142" s="98"/>
      <c r="AW142" s="98"/>
      <c r="AX142" s="98"/>
      <c r="AY142" s="98"/>
      <c r="AZ142" s="98"/>
      <c r="BA142" s="98"/>
      <c r="BB142" s="98"/>
      <c r="BC142" s="98"/>
      <c r="BD142" s="98"/>
      <c r="BE142" s="98"/>
      <c r="BF142" s="98"/>
      <c r="BG142" s="98"/>
      <c r="BH142" s="98"/>
      <c r="BI142" s="98"/>
      <c r="BJ142" s="98"/>
      <c r="BK142" s="98"/>
      <c r="BL142" s="98"/>
      <c r="BM142" s="98"/>
      <c r="BN142" s="98"/>
      <c r="BO142" s="98"/>
      <c r="BP142" s="98"/>
      <c r="BQ142" s="98"/>
      <c r="BR142" s="98"/>
      <c r="BS142" s="98"/>
      <c r="BT142" s="98"/>
      <c r="BU142" s="98"/>
      <c r="BV142" s="98"/>
      <c r="BW142" s="98"/>
      <c r="BX142" s="98"/>
      <c r="BY142" s="98"/>
      <c r="BZ142" s="98"/>
      <c r="CA142" s="98"/>
    </row>
    <row r="143" ht="15.75" customHeight="1">
      <c r="A143" s="98"/>
      <c r="B143" s="98"/>
      <c r="C143" s="98"/>
      <c r="D143" s="98"/>
      <c r="E143" s="98"/>
      <c r="F143" s="98"/>
      <c r="G143" s="98"/>
      <c r="H143" s="98"/>
      <c r="I143" s="99"/>
      <c r="J143" s="99"/>
      <c r="K143" s="99"/>
      <c r="L143" s="99"/>
      <c r="M143" s="99"/>
      <c r="N143" s="99"/>
      <c r="O143" s="99"/>
      <c r="P143" s="99"/>
      <c r="Q143" s="99"/>
      <c r="R143" s="99"/>
      <c r="S143" s="98"/>
      <c r="T143" s="98"/>
      <c r="U143" s="98"/>
      <c r="V143" s="98"/>
      <c r="W143" s="98"/>
      <c r="X143" s="98"/>
      <c r="Y143" s="98"/>
      <c r="Z143" s="98"/>
      <c r="AA143" s="98"/>
      <c r="AB143" s="98"/>
      <c r="AC143" s="98"/>
      <c r="AD143" s="98"/>
      <c r="AE143" s="98"/>
      <c r="AF143" s="98"/>
      <c r="AG143" s="98"/>
      <c r="AH143" s="98"/>
      <c r="AI143" s="98"/>
      <c r="AJ143" s="98"/>
      <c r="AK143" s="98"/>
      <c r="AL143" s="98"/>
      <c r="AM143" s="98"/>
      <c r="AN143" s="98"/>
      <c r="AO143" s="98"/>
      <c r="AP143" s="98"/>
      <c r="AQ143" s="98"/>
      <c r="AR143" s="98"/>
      <c r="AS143" s="98"/>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row>
    <row r="144" ht="15.75" customHeight="1">
      <c r="A144" s="98"/>
      <c r="B144" s="98"/>
      <c r="C144" s="98"/>
      <c r="D144" s="98"/>
      <c r="E144" s="98"/>
      <c r="F144" s="98"/>
      <c r="G144" s="98"/>
      <c r="H144" s="98"/>
      <c r="I144" s="99"/>
      <c r="J144" s="99"/>
      <c r="K144" s="99"/>
      <c r="L144" s="99"/>
      <c r="M144" s="99"/>
      <c r="N144" s="99"/>
      <c r="O144" s="99"/>
      <c r="P144" s="99"/>
      <c r="Q144" s="99"/>
      <c r="R144" s="99"/>
      <c r="S144" s="98"/>
      <c r="T144" s="98"/>
      <c r="U144" s="98"/>
      <c r="V144" s="98"/>
      <c r="W144" s="98"/>
      <c r="X144" s="98"/>
      <c r="Y144" s="98"/>
      <c r="Z144" s="98"/>
      <c r="AA144" s="98"/>
      <c r="AB144" s="98"/>
      <c r="AC144" s="98"/>
      <c r="AD144" s="98"/>
      <c r="AE144" s="98"/>
      <c r="AF144" s="98"/>
      <c r="AG144" s="98"/>
      <c r="AH144" s="98"/>
      <c r="AI144" s="98"/>
      <c r="AJ144" s="98"/>
      <c r="AK144" s="98"/>
      <c r="AL144" s="98"/>
      <c r="AM144" s="98"/>
      <c r="AN144" s="98"/>
      <c r="AO144" s="98"/>
      <c r="AP144" s="98"/>
      <c r="AQ144" s="98"/>
      <c r="AR144" s="98"/>
      <c r="AS144" s="98"/>
      <c r="AT144" s="98"/>
      <c r="AU144" s="98"/>
      <c r="AV144" s="98"/>
      <c r="AW144" s="98"/>
      <c r="AX144" s="98"/>
      <c r="AY144" s="98"/>
      <c r="AZ144" s="98"/>
      <c r="BA144" s="98"/>
      <c r="BB144" s="98"/>
      <c r="BC144" s="98"/>
      <c r="BD144" s="98"/>
      <c r="BE144" s="98"/>
      <c r="BF144" s="98"/>
      <c r="BG144" s="98"/>
      <c r="BH144" s="98"/>
      <c r="BI144" s="98"/>
      <c r="BJ144" s="98"/>
      <c r="BK144" s="98"/>
      <c r="BL144" s="98"/>
      <c r="BM144" s="98"/>
      <c r="BN144" s="98"/>
      <c r="BO144" s="98"/>
      <c r="BP144" s="98"/>
      <c r="BQ144" s="98"/>
      <c r="BR144" s="98"/>
      <c r="BS144" s="98"/>
      <c r="BT144" s="98"/>
      <c r="BU144" s="98"/>
      <c r="BV144" s="98"/>
      <c r="BW144" s="98"/>
      <c r="BX144" s="98"/>
      <c r="BY144" s="98"/>
      <c r="BZ144" s="98"/>
      <c r="CA144" s="98"/>
    </row>
    <row r="145" ht="15.75" customHeight="1">
      <c r="A145" s="98"/>
      <c r="B145" s="98"/>
      <c r="C145" s="98"/>
      <c r="D145" s="98"/>
      <c r="E145" s="98"/>
      <c r="F145" s="98"/>
      <c r="G145" s="98"/>
      <c r="H145" s="98"/>
      <c r="I145" s="99"/>
      <c r="J145" s="99"/>
      <c r="K145" s="99"/>
      <c r="L145" s="99"/>
      <c r="M145" s="99"/>
      <c r="N145" s="99"/>
      <c r="O145" s="99"/>
      <c r="P145" s="99"/>
      <c r="Q145" s="99"/>
      <c r="R145" s="99"/>
      <c r="S145" s="98"/>
      <c r="T145" s="98"/>
      <c r="U145" s="98"/>
      <c r="V145" s="98"/>
      <c r="W145" s="98"/>
      <c r="X145" s="98"/>
      <c r="Y145" s="98"/>
      <c r="Z145" s="98"/>
      <c r="AA145" s="98"/>
      <c r="AB145" s="98"/>
      <c r="AC145" s="98"/>
      <c r="AD145" s="98"/>
      <c r="AE145" s="98"/>
      <c r="AF145" s="98"/>
      <c r="AG145" s="98"/>
      <c r="AH145" s="98"/>
      <c r="AI145" s="98"/>
      <c r="AJ145" s="98"/>
      <c r="AK145" s="98"/>
      <c r="AL145" s="98"/>
      <c r="AM145" s="98"/>
      <c r="AN145" s="98"/>
      <c r="AO145" s="98"/>
      <c r="AP145" s="98"/>
      <c r="AQ145" s="98"/>
      <c r="AR145" s="98"/>
      <c r="AS145" s="98"/>
      <c r="AT145" s="98"/>
      <c r="AU145" s="98"/>
      <c r="AV145" s="98"/>
      <c r="AW145" s="98"/>
      <c r="AX145" s="98"/>
      <c r="AY145" s="98"/>
      <c r="AZ145" s="98"/>
      <c r="BA145" s="98"/>
      <c r="BB145" s="98"/>
      <c r="BC145" s="98"/>
      <c r="BD145" s="98"/>
      <c r="BE145" s="98"/>
      <c r="BF145" s="98"/>
      <c r="BG145" s="98"/>
      <c r="BH145" s="98"/>
      <c r="BI145" s="98"/>
      <c r="BJ145" s="98"/>
      <c r="BK145" s="98"/>
      <c r="BL145" s="98"/>
      <c r="BM145" s="98"/>
      <c r="BN145" s="98"/>
      <c r="BO145" s="98"/>
      <c r="BP145" s="98"/>
      <c r="BQ145" s="98"/>
      <c r="BR145" s="98"/>
      <c r="BS145" s="98"/>
      <c r="BT145" s="98"/>
      <c r="BU145" s="98"/>
      <c r="BV145" s="98"/>
      <c r="BW145" s="98"/>
      <c r="BX145" s="98"/>
      <c r="BY145" s="98"/>
      <c r="BZ145" s="98"/>
      <c r="CA145" s="98"/>
    </row>
    <row r="146" ht="15.75" customHeight="1">
      <c r="A146" s="98"/>
      <c r="B146" s="98"/>
      <c r="C146" s="98"/>
      <c r="D146" s="98"/>
      <c r="E146" s="98"/>
      <c r="F146" s="98"/>
      <c r="G146" s="98"/>
      <c r="H146" s="98"/>
      <c r="I146" s="99"/>
      <c r="J146" s="99"/>
      <c r="K146" s="99"/>
      <c r="L146" s="99"/>
      <c r="M146" s="99"/>
      <c r="N146" s="99"/>
      <c r="O146" s="99"/>
      <c r="P146" s="99"/>
      <c r="Q146" s="99"/>
      <c r="R146" s="99"/>
      <c r="S146" s="98"/>
      <c r="T146" s="98"/>
      <c r="U146" s="98"/>
      <c r="V146" s="98"/>
      <c r="W146" s="98"/>
      <c r="X146" s="98"/>
      <c r="Y146" s="98"/>
      <c r="Z146" s="98"/>
      <c r="AA146" s="98"/>
      <c r="AB146" s="98"/>
      <c r="AC146" s="98"/>
      <c r="AD146" s="98"/>
      <c r="AE146" s="98"/>
      <c r="AF146" s="98"/>
      <c r="AG146" s="98"/>
      <c r="AH146" s="98"/>
      <c r="AI146" s="98"/>
      <c r="AJ146" s="98"/>
      <c r="AK146" s="98"/>
      <c r="AL146" s="98"/>
      <c r="AM146" s="98"/>
      <c r="AN146" s="98"/>
      <c r="AO146" s="98"/>
      <c r="AP146" s="98"/>
      <c r="AQ146" s="98"/>
      <c r="AR146" s="98"/>
      <c r="AS146" s="98"/>
      <c r="AT146" s="98"/>
      <c r="AU146" s="98"/>
      <c r="AV146" s="98"/>
      <c r="AW146" s="98"/>
      <c r="AX146" s="98"/>
      <c r="AY146" s="98"/>
      <c r="AZ146" s="98"/>
      <c r="BA146" s="98"/>
      <c r="BB146" s="98"/>
      <c r="BC146" s="98"/>
      <c r="BD146" s="98"/>
      <c r="BE146" s="98"/>
      <c r="BF146" s="98"/>
      <c r="BG146" s="98"/>
      <c r="BH146" s="98"/>
      <c r="BI146" s="98"/>
      <c r="BJ146" s="98"/>
      <c r="BK146" s="98"/>
      <c r="BL146" s="98"/>
      <c r="BM146" s="98"/>
      <c r="BN146" s="98"/>
      <c r="BO146" s="98"/>
      <c r="BP146" s="98"/>
      <c r="BQ146" s="98"/>
      <c r="BR146" s="98"/>
      <c r="BS146" s="98"/>
      <c r="BT146" s="98"/>
      <c r="BU146" s="98"/>
      <c r="BV146" s="98"/>
      <c r="BW146" s="98"/>
      <c r="BX146" s="98"/>
      <c r="BY146" s="98"/>
      <c r="BZ146" s="98"/>
      <c r="CA146" s="98"/>
    </row>
    <row r="147" ht="15.75" customHeight="1">
      <c r="A147" s="98"/>
      <c r="B147" s="98"/>
      <c r="C147" s="98"/>
      <c r="D147" s="98"/>
      <c r="E147" s="98"/>
      <c r="F147" s="98"/>
      <c r="G147" s="98"/>
      <c r="H147" s="98"/>
      <c r="I147" s="99"/>
      <c r="J147" s="99"/>
      <c r="K147" s="99"/>
      <c r="L147" s="99"/>
      <c r="M147" s="99"/>
      <c r="N147" s="99"/>
      <c r="O147" s="99"/>
      <c r="P147" s="99"/>
      <c r="Q147" s="99"/>
      <c r="R147" s="99"/>
      <c r="S147" s="98"/>
      <c r="T147" s="98"/>
      <c r="U147" s="98"/>
      <c r="V147" s="98"/>
      <c r="W147" s="98"/>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8"/>
      <c r="BU147" s="98"/>
      <c r="BV147" s="98"/>
      <c r="BW147" s="98"/>
      <c r="BX147" s="98"/>
      <c r="BY147" s="98"/>
      <c r="BZ147" s="98"/>
      <c r="CA147" s="98"/>
    </row>
    <row r="148" ht="15.75" customHeight="1">
      <c r="A148" s="98"/>
      <c r="B148" s="98"/>
      <c r="C148" s="98"/>
      <c r="D148" s="98"/>
      <c r="E148" s="98"/>
      <c r="F148" s="98"/>
      <c r="G148" s="98"/>
      <c r="H148" s="98"/>
      <c r="I148" s="99"/>
      <c r="J148" s="99"/>
      <c r="K148" s="99"/>
      <c r="L148" s="99"/>
      <c r="M148" s="99"/>
      <c r="N148" s="99"/>
      <c r="O148" s="99"/>
      <c r="P148" s="99"/>
      <c r="Q148" s="99"/>
      <c r="R148" s="99"/>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c r="AP148" s="98"/>
      <c r="AQ148" s="98"/>
      <c r="AR148" s="98"/>
      <c r="AS148" s="98"/>
      <c r="AT148" s="98"/>
      <c r="AU148" s="98"/>
      <c r="AV148" s="98"/>
      <c r="AW148" s="98"/>
      <c r="AX148" s="98"/>
      <c r="AY148" s="98"/>
      <c r="AZ148" s="98"/>
      <c r="BA148" s="98"/>
      <c r="BB148" s="98"/>
      <c r="BC148" s="98"/>
      <c r="BD148" s="98"/>
      <c r="BE148" s="98"/>
      <c r="BF148" s="98"/>
      <c r="BG148" s="98"/>
      <c r="BH148" s="98"/>
      <c r="BI148" s="98"/>
      <c r="BJ148" s="98"/>
      <c r="BK148" s="98"/>
      <c r="BL148" s="98"/>
      <c r="BM148" s="98"/>
      <c r="BN148" s="98"/>
      <c r="BO148" s="98"/>
      <c r="BP148" s="98"/>
      <c r="BQ148" s="98"/>
      <c r="BR148" s="98"/>
      <c r="BS148" s="98"/>
      <c r="BT148" s="98"/>
      <c r="BU148" s="98"/>
      <c r="BV148" s="98"/>
      <c r="BW148" s="98"/>
      <c r="BX148" s="98"/>
      <c r="BY148" s="98"/>
      <c r="BZ148" s="98"/>
      <c r="CA148" s="98"/>
    </row>
    <row r="149" ht="15.75" customHeight="1">
      <c r="A149" s="98"/>
      <c r="B149" s="98"/>
      <c r="C149" s="98"/>
      <c r="D149" s="98"/>
      <c r="E149" s="98"/>
      <c r="F149" s="98"/>
      <c r="G149" s="98"/>
      <c r="H149" s="98"/>
      <c r="I149" s="99"/>
      <c r="J149" s="99"/>
      <c r="K149" s="99"/>
      <c r="L149" s="99"/>
      <c r="M149" s="99"/>
      <c r="N149" s="99"/>
      <c r="O149" s="99"/>
      <c r="P149" s="99"/>
      <c r="Q149" s="99"/>
      <c r="R149" s="99"/>
      <c r="S149" s="98"/>
      <c r="T149" s="98"/>
      <c r="U149" s="98"/>
      <c r="V149" s="98"/>
      <c r="W149" s="98"/>
      <c r="X149" s="98"/>
      <c r="Y149" s="98"/>
      <c r="Z149" s="98"/>
      <c r="AA149" s="98"/>
      <c r="AB149" s="98"/>
      <c r="AC149" s="98"/>
      <c r="AD149" s="98"/>
      <c r="AE149" s="98"/>
      <c r="AF149" s="98"/>
      <c r="AG149" s="98"/>
      <c r="AH149" s="98"/>
      <c r="AI149" s="98"/>
      <c r="AJ149" s="98"/>
      <c r="AK149" s="98"/>
      <c r="AL149" s="98"/>
      <c r="AM149" s="98"/>
      <c r="AN149" s="98"/>
      <c r="AO149" s="98"/>
      <c r="AP149" s="98"/>
      <c r="AQ149" s="98"/>
      <c r="AR149" s="98"/>
      <c r="AS149" s="98"/>
      <c r="AT149" s="98"/>
      <c r="AU149" s="98"/>
      <c r="AV149" s="98"/>
      <c r="AW149" s="98"/>
      <c r="AX149" s="98"/>
      <c r="AY149" s="98"/>
      <c r="AZ149" s="98"/>
      <c r="BA149" s="98"/>
      <c r="BB149" s="98"/>
      <c r="BC149" s="98"/>
      <c r="BD149" s="98"/>
      <c r="BE149" s="98"/>
      <c r="BF149" s="98"/>
      <c r="BG149" s="98"/>
      <c r="BH149" s="98"/>
      <c r="BI149" s="98"/>
      <c r="BJ149" s="98"/>
      <c r="BK149" s="98"/>
      <c r="BL149" s="98"/>
      <c r="BM149" s="98"/>
      <c r="BN149" s="98"/>
      <c r="BO149" s="98"/>
      <c r="BP149" s="98"/>
      <c r="BQ149" s="98"/>
      <c r="BR149" s="98"/>
      <c r="BS149" s="98"/>
      <c r="BT149" s="98"/>
      <c r="BU149" s="98"/>
      <c r="BV149" s="98"/>
      <c r="BW149" s="98"/>
      <c r="BX149" s="98"/>
      <c r="BY149" s="98"/>
      <c r="BZ149" s="98"/>
      <c r="CA149" s="98"/>
    </row>
    <row r="150" ht="15.75" customHeight="1">
      <c r="A150" s="98"/>
      <c r="B150" s="98"/>
      <c r="C150" s="98"/>
      <c r="D150" s="98"/>
      <c r="E150" s="98"/>
      <c r="F150" s="98"/>
      <c r="G150" s="98"/>
      <c r="H150" s="98"/>
      <c r="I150" s="99"/>
      <c r="J150" s="99"/>
      <c r="K150" s="99"/>
      <c r="L150" s="99"/>
      <c r="M150" s="99"/>
      <c r="N150" s="99"/>
      <c r="O150" s="99"/>
      <c r="P150" s="99"/>
      <c r="Q150" s="99"/>
      <c r="R150" s="99"/>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8"/>
      <c r="AU150" s="98"/>
      <c r="AV150" s="98"/>
      <c r="AW150" s="98"/>
      <c r="AX150" s="98"/>
      <c r="AY150" s="98"/>
      <c r="AZ150" s="98"/>
      <c r="BA150" s="98"/>
      <c r="BB150" s="98"/>
      <c r="BC150" s="98"/>
      <c r="BD150" s="98"/>
      <c r="BE150" s="98"/>
      <c r="BF150" s="98"/>
      <c r="BG150" s="98"/>
      <c r="BH150" s="98"/>
      <c r="BI150" s="98"/>
      <c r="BJ150" s="98"/>
      <c r="BK150" s="98"/>
      <c r="BL150" s="98"/>
      <c r="BM150" s="98"/>
      <c r="BN150" s="98"/>
      <c r="BO150" s="98"/>
      <c r="BP150" s="98"/>
      <c r="BQ150" s="98"/>
      <c r="BR150" s="98"/>
      <c r="BS150" s="98"/>
      <c r="BT150" s="98"/>
      <c r="BU150" s="98"/>
      <c r="BV150" s="98"/>
      <c r="BW150" s="98"/>
      <c r="BX150" s="98"/>
      <c r="BY150" s="98"/>
      <c r="BZ150" s="98"/>
      <c r="CA150" s="98"/>
    </row>
    <row r="151" ht="15.75" customHeight="1">
      <c r="A151" s="98"/>
      <c r="B151" s="98"/>
      <c r="C151" s="98"/>
      <c r="D151" s="98"/>
      <c r="E151" s="98"/>
      <c r="F151" s="98"/>
      <c r="G151" s="98"/>
      <c r="H151" s="98"/>
      <c r="I151" s="99"/>
      <c r="J151" s="99"/>
      <c r="K151" s="99"/>
      <c r="L151" s="99"/>
      <c r="M151" s="99"/>
      <c r="N151" s="99"/>
      <c r="O151" s="99"/>
      <c r="P151" s="99"/>
      <c r="Q151" s="99"/>
      <c r="R151" s="99"/>
      <c r="S151" s="98"/>
      <c r="T151" s="98"/>
      <c r="U151" s="98"/>
      <c r="V151" s="98"/>
      <c r="W151" s="98"/>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8"/>
      <c r="AU151" s="98"/>
      <c r="AV151" s="98"/>
      <c r="AW151" s="98"/>
      <c r="AX151" s="98"/>
      <c r="AY151" s="98"/>
      <c r="AZ151" s="98"/>
      <c r="BA151" s="98"/>
      <c r="BB151" s="98"/>
      <c r="BC151" s="98"/>
      <c r="BD151" s="98"/>
      <c r="BE151" s="98"/>
      <c r="BF151" s="98"/>
      <c r="BG151" s="98"/>
      <c r="BH151" s="98"/>
      <c r="BI151" s="98"/>
      <c r="BJ151" s="98"/>
      <c r="BK151" s="98"/>
      <c r="BL151" s="98"/>
      <c r="BM151" s="98"/>
      <c r="BN151" s="98"/>
      <c r="BO151" s="98"/>
      <c r="BP151" s="98"/>
      <c r="BQ151" s="98"/>
      <c r="BR151" s="98"/>
      <c r="BS151" s="98"/>
      <c r="BT151" s="98"/>
      <c r="BU151" s="98"/>
      <c r="BV151" s="98"/>
      <c r="BW151" s="98"/>
      <c r="BX151" s="98"/>
      <c r="BY151" s="98"/>
      <c r="BZ151" s="98"/>
      <c r="CA151" s="98"/>
    </row>
    <row r="152" ht="15.75" customHeight="1">
      <c r="A152" s="98"/>
      <c r="B152" s="98"/>
      <c r="C152" s="98"/>
      <c r="D152" s="98"/>
      <c r="E152" s="98"/>
      <c r="F152" s="98"/>
      <c r="G152" s="98"/>
      <c r="H152" s="98"/>
      <c r="I152" s="99"/>
      <c r="J152" s="99"/>
      <c r="K152" s="99"/>
      <c r="L152" s="99"/>
      <c r="M152" s="99"/>
      <c r="N152" s="99"/>
      <c r="O152" s="99"/>
      <c r="P152" s="99"/>
      <c r="Q152" s="99"/>
      <c r="R152" s="99"/>
      <c r="S152" s="98"/>
      <c r="T152" s="98"/>
      <c r="U152" s="98"/>
      <c r="V152" s="98"/>
      <c r="W152" s="98"/>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8"/>
      <c r="AU152" s="98"/>
      <c r="AV152" s="98"/>
      <c r="AW152" s="98"/>
      <c r="AX152" s="98"/>
      <c r="AY152" s="98"/>
      <c r="AZ152" s="98"/>
      <c r="BA152" s="98"/>
      <c r="BB152" s="98"/>
      <c r="BC152" s="98"/>
      <c r="BD152" s="98"/>
      <c r="BE152" s="98"/>
      <c r="BF152" s="98"/>
      <c r="BG152" s="98"/>
      <c r="BH152" s="98"/>
      <c r="BI152" s="98"/>
      <c r="BJ152" s="98"/>
      <c r="BK152" s="98"/>
      <c r="BL152" s="98"/>
      <c r="BM152" s="98"/>
      <c r="BN152" s="98"/>
      <c r="BO152" s="98"/>
      <c r="BP152" s="98"/>
      <c r="BQ152" s="98"/>
      <c r="BR152" s="98"/>
      <c r="BS152" s="98"/>
      <c r="BT152" s="98"/>
      <c r="BU152" s="98"/>
      <c r="BV152" s="98"/>
      <c r="BW152" s="98"/>
      <c r="BX152" s="98"/>
      <c r="BY152" s="98"/>
      <c r="BZ152" s="98"/>
      <c r="CA152" s="98"/>
    </row>
    <row r="153" ht="15.75" customHeight="1">
      <c r="A153" s="98"/>
      <c r="B153" s="98"/>
      <c r="C153" s="98"/>
      <c r="D153" s="98"/>
      <c r="E153" s="98"/>
      <c r="F153" s="98"/>
      <c r="G153" s="98"/>
      <c r="H153" s="98"/>
      <c r="I153" s="99"/>
      <c r="J153" s="99"/>
      <c r="K153" s="99"/>
      <c r="L153" s="99"/>
      <c r="M153" s="99"/>
      <c r="N153" s="99"/>
      <c r="O153" s="99"/>
      <c r="P153" s="99"/>
      <c r="Q153" s="99"/>
      <c r="R153" s="99"/>
      <c r="S153" s="98"/>
      <c r="T153" s="98"/>
      <c r="U153" s="98"/>
      <c r="V153" s="98"/>
      <c r="W153" s="98"/>
      <c r="X153" s="98"/>
      <c r="Y153" s="98"/>
      <c r="Z153" s="98"/>
      <c r="AA153" s="98"/>
      <c r="AB153" s="98"/>
      <c r="AC153" s="98"/>
      <c r="AD153" s="98"/>
      <c r="AE153" s="98"/>
      <c r="AF153" s="98"/>
      <c r="AG153" s="98"/>
      <c r="AH153" s="98"/>
      <c r="AI153" s="98"/>
      <c r="AJ153" s="98"/>
      <c r="AK153" s="98"/>
      <c r="AL153" s="98"/>
      <c r="AM153" s="98"/>
      <c r="AN153" s="98"/>
      <c r="AO153" s="98"/>
      <c r="AP153" s="98"/>
      <c r="AQ153" s="98"/>
      <c r="AR153" s="98"/>
      <c r="AS153" s="98"/>
      <c r="AT153" s="98"/>
      <c r="AU153" s="98"/>
      <c r="AV153" s="98"/>
      <c r="AW153" s="98"/>
      <c r="AX153" s="98"/>
      <c r="AY153" s="98"/>
      <c r="AZ153" s="98"/>
      <c r="BA153" s="98"/>
      <c r="BB153" s="98"/>
      <c r="BC153" s="98"/>
      <c r="BD153" s="98"/>
      <c r="BE153" s="98"/>
      <c r="BF153" s="98"/>
      <c r="BG153" s="98"/>
      <c r="BH153" s="98"/>
      <c r="BI153" s="98"/>
      <c r="BJ153" s="98"/>
      <c r="BK153" s="98"/>
      <c r="BL153" s="98"/>
      <c r="BM153" s="98"/>
      <c r="BN153" s="98"/>
      <c r="BO153" s="98"/>
      <c r="BP153" s="98"/>
      <c r="BQ153" s="98"/>
      <c r="BR153" s="98"/>
      <c r="BS153" s="98"/>
      <c r="BT153" s="98"/>
      <c r="BU153" s="98"/>
      <c r="BV153" s="98"/>
      <c r="BW153" s="98"/>
      <c r="BX153" s="98"/>
      <c r="BY153" s="98"/>
      <c r="BZ153" s="98"/>
      <c r="CA153" s="98"/>
    </row>
    <row r="154" ht="15.75" customHeight="1">
      <c r="A154" s="98"/>
      <c r="B154" s="98"/>
      <c r="C154" s="98"/>
      <c r="D154" s="98"/>
      <c r="E154" s="98"/>
      <c r="F154" s="98"/>
      <c r="G154" s="98"/>
      <c r="H154" s="98"/>
      <c r="I154" s="99"/>
      <c r="J154" s="99"/>
      <c r="K154" s="99"/>
      <c r="L154" s="99"/>
      <c r="M154" s="99"/>
      <c r="N154" s="99"/>
      <c r="O154" s="99"/>
      <c r="P154" s="99"/>
      <c r="Q154" s="99"/>
      <c r="R154" s="99"/>
      <c r="S154" s="98"/>
      <c r="T154" s="98"/>
      <c r="U154" s="98"/>
      <c r="V154" s="98"/>
      <c r="W154" s="98"/>
      <c r="X154" s="98"/>
      <c r="Y154" s="98"/>
      <c r="Z154" s="98"/>
      <c r="AA154" s="98"/>
      <c r="AB154" s="98"/>
      <c r="AC154" s="98"/>
      <c r="AD154" s="98"/>
      <c r="AE154" s="98"/>
      <c r="AF154" s="98"/>
      <c r="AG154" s="98"/>
      <c r="AH154" s="98"/>
      <c r="AI154" s="98"/>
      <c r="AJ154" s="98"/>
      <c r="AK154" s="98"/>
      <c r="AL154" s="98"/>
      <c r="AM154" s="98"/>
      <c r="AN154" s="98"/>
      <c r="AO154" s="98"/>
      <c r="AP154" s="98"/>
      <c r="AQ154" s="98"/>
      <c r="AR154" s="98"/>
      <c r="AS154" s="98"/>
      <c r="AT154" s="98"/>
      <c r="AU154" s="98"/>
      <c r="AV154" s="98"/>
      <c r="AW154" s="98"/>
      <c r="AX154" s="98"/>
      <c r="AY154" s="98"/>
      <c r="AZ154" s="98"/>
      <c r="BA154" s="98"/>
      <c r="BB154" s="98"/>
      <c r="BC154" s="98"/>
      <c r="BD154" s="98"/>
      <c r="BE154" s="98"/>
      <c r="BF154" s="98"/>
      <c r="BG154" s="98"/>
      <c r="BH154" s="98"/>
      <c r="BI154" s="98"/>
      <c r="BJ154" s="98"/>
      <c r="BK154" s="98"/>
      <c r="BL154" s="98"/>
      <c r="BM154" s="98"/>
      <c r="BN154" s="98"/>
      <c r="BO154" s="98"/>
      <c r="BP154" s="98"/>
      <c r="BQ154" s="98"/>
      <c r="BR154" s="98"/>
      <c r="BS154" s="98"/>
      <c r="BT154" s="98"/>
      <c r="BU154" s="98"/>
      <c r="BV154" s="98"/>
      <c r="BW154" s="98"/>
      <c r="BX154" s="98"/>
      <c r="BY154" s="98"/>
      <c r="BZ154" s="98"/>
      <c r="CA154" s="98"/>
    </row>
    <row r="155" ht="15.75" customHeight="1">
      <c r="A155" s="98"/>
      <c r="B155" s="98"/>
      <c r="C155" s="98"/>
      <c r="D155" s="98"/>
      <c r="E155" s="98"/>
      <c r="F155" s="98"/>
      <c r="G155" s="98"/>
      <c r="H155" s="98"/>
      <c r="I155" s="99"/>
      <c r="J155" s="99"/>
      <c r="K155" s="99"/>
      <c r="L155" s="99"/>
      <c r="M155" s="99"/>
      <c r="N155" s="99"/>
      <c r="O155" s="99"/>
      <c r="P155" s="99"/>
      <c r="Q155" s="99"/>
      <c r="R155" s="99"/>
      <c r="S155" s="98"/>
      <c r="T155" s="98"/>
      <c r="U155" s="98"/>
      <c r="V155" s="98"/>
      <c r="W155" s="98"/>
      <c r="X155" s="98"/>
      <c r="Y155" s="98"/>
      <c r="Z155" s="98"/>
      <c r="AA155" s="98"/>
      <c r="AB155" s="98"/>
      <c r="AC155" s="98"/>
      <c r="AD155" s="98"/>
      <c r="AE155" s="98"/>
      <c r="AF155" s="98"/>
      <c r="AG155" s="98"/>
      <c r="AH155" s="98"/>
      <c r="AI155" s="98"/>
      <c r="AJ155" s="98"/>
      <c r="AK155" s="98"/>
      <c r="AL155" s="98"/>
      <c r="AM155" s="98"/>
      <c r="AN155" s="98"/>
      <c r="AO155" s="98"/>
      <c r="AP155" s="98"/>
      <c r="AQ155" s="98"/>
      <c r="AR155" s="98"/>
      <c r="AS155" s="98"/>
      <c r="AT155" s="98"/>
      <c r="AU155" s="98"/>
      <c r="AV155" s="98"/>
      <c r="AW155" s="98"/>
      <c r="AX155" s="98"/>
      <c r="AY155" s="98"/>
      <c r="AZ155" s="98"/>
      <c r="BA155" s="98"/>
      <c r="BB155" s="98"/>
      <c r="BC155" s="98"/>
      <c r="BD155" s="98"/>
      <c r="BE155" s="98"/>
      <c r="BF155" s="98"/>
      <c r="BG155" s="98"/>
      <c r="BH155" s="98"/>
      <c r="BI155" s="98"/>
      <c r="BJ155" s="98"/>
      <c r="BK155" s="98"/>
      <c r="BL155" s="98"/>
      <c r="BM155" s="98"/>
      <c r="BN155" s="98"/>
      <c r="BO155" s="98"/>
      <c r="BP155" s="98"/>
      <c r="BQ155" s="98"/>
      <c r="BR155" s="98"/>
      <c r="BS155" s="98"/>
      <c r="BT155" s="98"/>
      <c r="BU155" s="98"/>
      <c r="BV155" s="98"/>
      <c r="BW155" s="98"/>
      <c r="BX155" s="98"/>
      <c r="BY155" s="98"/>
      <c r="BZ155" s="98"/>
      <c r="CA155" s="98"/>
    </row>
    <row r="156" ht="15.75" customHeight="1">
      <c r="A156" s="98"/>
      <c r="B156" s="98"/>
      <c r="C156" s="98"/>
      <c r="D156" s="98"/>
      <c r="E156" s="98"/>
      <c r="F156" s="98"/>
      <c r="G156" s="98"/>
      <c r="H156" s="98"/>
      <c r="I156" s="99"/>
      <c r="J156" s="99"/>
      <c r="K156" s="99"/>
      <c r="L156" s="99"/>
      <c r="M156" s="99"/>
      <c r="N156" s="99"/>
      <c r="O156" s="99"/>
      <c r="P156" s="99"/>
      <c r="Q156" s="99"/>
      <c r="R156" s="99"/>
      <c r="S156" s="98"/>
      <c r="T156" s="98"/>
      <c r="U156" s="98"/>
      <c r="V156" s="98"/>
      <c r="W156" s="98"/>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c r="AT156" s="98"/>
      <c r="AU156" s="98"/>
      <c r="AV156" s="98"/>
      <c r="AW156" s="98"/>
      <c r="AX156" s="98"/>
      <c r="AY156" s="98"/>
      <c r="AZ156" s="98"/>
      <c r="BA156" s="98"/>
      <c r="BB156" s="98"/>
      <c r="BC156" s="98"/>
      <c r="BD156" s="98"/>
      <c r="BE156" s="98"/>
      <c r="BF156" s="98"/>
      <c r="BG156" s="98"/>
      <c r="BH156" s="98"/>
      <c r="BI156" s="98"/>
      <c r="BJ156" s="98"/>
      <c r="BK156" s="98"/>
      <c r="BL156" s="98"/>
      <c r="BM156" s="98"/>
      <c r="BN156" s="98"/>
      <c r="BO156" s="98"/>
      <c r="BP156" s="98"/>
      <c r="BQ156" s="98"/>
      <c r="BR156" s="98"/>
      <c r="BS156" s="98"/>
      <c r="BT156" s="98"/>
      <c r="BU156" s="98"/>
      <c r="BV156" s="98"/>
      <c r="BW156" s="98"/>
      <c r="BX156" s="98"/>
      <c r="BY156" s="98"/>
      <c r="BZ156" s="98"/>
      <c r="CA156" s="98"/>
    </row>
    <row r="157" ht="15.75" customHeight="1">
      <c r="A157" s="98"/>
      <c r="B157" s="98"/>
      <c r="C157" s="98"/>
      <c r="D157" s="98"/>
      <c r="E157" s="98"/>
      <c r="F157" s="98"/>
      <c r="G157" s="98"/>
      <c r="H157" s="98"/>
      <c r="I157" s="99"/>
      <c r="J157" s="99"/>
      <c r="K157" s="99"/>
      <c r="L157" s="99"/>
      <c r="M157" s="99"/>
      <c r="N157" s="99"/>
      <c r="O157" s="99"/>
      <c r="P157" s="99"/>
      <c r="Q157" s="99"/>
      <c r="R157" s="99"/>
      <c r="S157" s="98"/>
      <c r="T157" s="98"/>
      <c r="U157" s="98"/>
      <c r="V157" s="98"/>
      <c r="W157" s="98"/>
      <c r="X157" s="98"/>
      <c r="Y157" s="98"/>
      <c r="Z157" s="98"/>
      <c r="AA157" s="98"/>
      <c r="AB157" s="98"/>
      <c r="AC157" s="98"/>
      <c r="AD157" s="98"/>
      <c r="AE157" s="98"/>
      <c r="AF157" s="98"/>
      <c r="AG157" s="98"/>
      <c r="AH157" s="98"/>
      <c r="AI157" s="98"/>
      <c r="AJ157" s="98"/>
      <c r="AK157" s="98"/>
      <c r="AL157" s="98"/>
      <c r="AM157" s="98"/>
      <c r="AN157" s="98"/>
      <c r="AO157" s="98"/>
      <c r="AP157" s="98"/>
      <c r="AQ157" s="98"/>
      <c r="AR157" s="98"/>
      <c r="AS157" s="98"/>
      <c r="AT157" s="98"/>
      <c r="AU157" s="98"/>
      <c r="AV157" s="98"/>
      <c r="AW157" s="98"/>
      <c r="AX157" s="98"/>
      <c r="AY157" s="98"/>
      <c r="AZ157" s="98"/>
      <c r="BA157" s="98"/>
      <c r="BB157" s="98"/>
      <c r="BC157" s="98"/>
      <c r="BD157" s="98"/>
      <c r="BE157" s="98"/>
      <c r="BF157" s="98"/>
      <c r="BG157" s="98"/>
      <c r="BH157" s="98"/>
      <c r="BI157" s="98"/>
      <c r="BJ157" s="98"/>
      <c r="BK157" s="98"/>
      <c r="BL157" s="98"/>
      <c r="BM157" s="98"/>
      <c r="BN157" s="98"/>
      <c r="BO157" s="98"/>
      <c r="BP157" s="98"/>
      <c r="BQ157" s="98"/>
      <c r="BR157" s="98"/>
      <c r="BS157" s="98"/>
      <c r="BT157" s="98"/>
      <c r="BU157" s="98"/>
      <c r="BV157" s="98"/>
      <c r="BW157" s="98"/>
      <c r="BX157" s="98"/>
      <c r="BY157" s="98"/>
      <c r="BZ157" s="98"/>
      <c r="CA157" s="98"/>
    </row>
    <row r="158" ht="15.75" customHeight="1">
      <c r="A158" s="98"/>
      <c r="B158" s="98"/>
      <c r="C158" s="98"/>
      <c r="D158" s="98"/>
      <c r="E158" s="98"/>
      <c r="F158" s="98"/>
      <c r="G158" s="98"/>
      <c r="H158" s="98"/>
      <c r="I158" s="99"/>
      <c r="J158" s="99"/>
      <c r="K158" s="99"/>
      <c r="L158" s="99"/>
      <c r="M158" s="99"/>
      <c r="N158" s="99"/>
      <c r="O158" s="99"/>
      <c r="P158" s="99"/>
      <c r="Q158" s="99"/>
      <c r="R158" s="99"/>
      <c r="S158" s="98"/>
      <c r="T158" s="98"/>
      <c r="U158" s="98"/>
      <c r="V158" s="98"/>
      <c r="W158" s="98"/>
      <c r="X158" s="98"/>
      <c r="Y158" s="98"/>
      <c r="Z158" s="98"/>
      <c r="AA158" s="98"/>
      <c r="AB158" s="98"/>
      <c r="AC158" s="98"/>
      <c r="AD158" s="98"/>
      <c r="AE158" s="98"/>
      <c r="AF158" s="98"/>
      <c r="AG158" s="98"/>
      <c r="AH158" s="98"/>
      <c r="AI158" s="98"/>
      <c r="AJ158" s="98"/>
      <c r="AK158" s="98"/>
      <c r="AL158" s="98"/>
      <c r="AM158" s="98"/>
      <c r="AN158" s="98"/>
      <c r="AO158" s="98"/>
      <c r="AP158" s="98"/>
      <c r="AQ158" s="98"/>
      <c r="AR158" s="98"/>
      <c r="AS158" s="98"/>
      <c r="AT158" s="98"/>
      <c r="AU158" s="98"/>
      <c r="AV158" s="98"/>
      <c r="AW158" s="98"/>
      <c r="AX158" s="98"/>
      <c r="AY158" s="98"/>
      <c r="AZ158" s="98"/>
      <c r="BA158" s="98"/>
      <c r="BB158" s="98"/>
      <c r="BC158" s="98"/>
      <c r="BD158" s="98"/>
      <c r="BE158" s="98"/>
      <c r="BF158" s="98"/>
      <c r="BG158" s="98"/>
      <c r="BH158" s="98"/>
      <c r="BI158" s="98"/>
      <c r="BJ158" s="98"/>
      <c r="BK158" s="98"/>
      <c r="BL158" s="98"/>
      <c r="BM158" s="98"/>
      <c r="BN158" s="98"/>
      <c r="BO158" s="98"/>
      <c r="BP158" s="98"/>
      <c r="BQ158" s="98"/>
      <c r="BR158" s="98"/>
      <c r="BS158" s="98"/>
      <c r="BT158" s="98"/>
      <c r="BU158" s="98"/>
      <c r="BV158" s="98"/>
      <c r="BW158" s="98"/>
      <c r="BX158" s="98"/>
      <c r="BY158" s="98"/>
      <c r="BZ158" s="98"/>
      <c r="CA158" s="98"/>
    </row>
    <row r="159" ht="15.75" customHeight="1">
      <c r="A159" s="98"/>
      <c r="B159" s="98"/>
      <c r="C159" s="98"/>
      <c r="D159" s="98"/>
      <c r="E159" s="98"/>
      <c r="F159" s="98"/>
      <c r="G159" s="98"/>
      <c r="H159" s="98"/>
      <c r="I159" s="99"/>
      <c r="J159" s="99"/>
      <c r="K159" s="99"/>
      <c r="L159" s="99"/>
      <c r="M159" s="99"/>
      <c r="N159" s="99"/>
      <c r="O159" s="99"/>
      <c r="P159" s="99"/>
      <c r="Q159" s="99"/>
      <c r="R159" s="99"/>
      <c r="S159" s="98"/>
      <c r="T159" s="98"/>
      <c r="U159" s="98"/>
      <c r="V159" s="98"/>
      <c r="W159" s="98"/>
      <c r="X159" s="98"/>
      <c r="Y159" s="98"/>
      <c r="Z159" s="98"/>
      <c r="AA159" s="98"/>
      <c r="AB159" s="98"/>
      <c r="AC159" s="98"/>
      <c r="AD159" s="98"/>
      <c r="AE159" s="98"/>
      <c r="AF159" s="98"/>
      <c r="AG159" s="98"/>
      <c r="AH159" s="98"/>
      <c r="AI159" s="98"/>
      <c r="AJ159" s="98"/>
      <c r="AK159" s="98"/>
      <c r="AL159" s="98"/>
      <c r="AM159" s="98"/>
      <c r="AN159" s="98"/>
      <c r="AO159" s="98"/>
      <c r="AP159" s="98"/>
      <c r="AQ159" s="98"/>
      <c r="AR159" s="98"/>
      <c r="AS159" s="98"/>
      <c r="AT159" s="98"/>
      <c r="AU159" s="98"/>
      <c r="AV159" s="98"/>
      <c r="AW159" s="98"/>
      <c r="AX159" s="98"/>
      <c r="AY159" s="98"/>
      <c r="AZ159" s="98"/>
      <c r="BA159" s="98"/>
      <c r="BB159" s="98"/>
      <c r="BC159" s="98"/>
      <c r="BD159" s="98"/>
      <c r="BE159" s="98"/>
      <c r="BF159" s="98"/>
      <c r="BG159" s="98"/>
      <c r="BH159" s="98"/>
      <c r="BI159" s="98"/>
      <c r="BJ159" s="98"/>
      <c r="BK159" s="98"/>
      <c r="BL159" s="98"/>
      <c r="BM159" s="98"/>
      <c r="BN159" s="98"/>
      <c r="BO159" s="98"/>
      <c r="BP159" s="98"/>
      <c r="BQ159" s="98"/>
      <c r="BR159" s="98"/>
      <c r="BS159" s="98"/>
      <c r="BT159" s="98"/>
      <c r="BU159" s="98"/>
      <c r="BV159" s="98"/>
      <c r="BW159" s="98"/>
      <c r="BX159" s="98"/>
      <c r="BY159" s="98"/>
      <c r="BZ159" s="98"/>
      <c r="CA159" s="98"/>
    </row>
    <row r="160" ht="15.75" customHeight="1">
      <c r="A160" s="98"/>
      <c r="B160" s="98"/>
      <c r="C160" s="98"/>
      <c r="D160" s="98"/>
      <c r="E160" s="98"/>
      <c r="F160" s="98"/>
      <c r="G160" s="98"/>
      <c r="H160" s="98"/>
      <c r="I160" s="99"/>
      <c r="J160" s="99"/>
      <c r="K160" s="99"/>
      <c r="L160" s="99"/>
      <c r="M160" s="99"/>
      <c r="N160" s="99"/>
      <c r="O160" s="99"/>
      <c r="P160" s="99"/>
      <c r="Q160" s="99"/>
      <c r="R160" s="99"/>
      <c r="S160" s="98"/>
      <c r="T160" s="98"/>
      <c r="U160" s="98"/>
      <c r="V160" s="98"/>
      <c r="W160" s="98"/>
      <c r="X160" s="98"/>
      <c r="Y160" s="98"/>
      <c r="Z160" s="98"/>
      <c r="AA160" s="98"/>
      <c r="AB160" s="98"/>
      <c r="AC160" s="98"/>
      <c r="AD160" s="98"/>
      <c r="AE160" s="98"/>
      <c r="AF160" s="98"/>
      <c r="AG160" s="98"/>
      <c r="AH160" s="98"/>
      <c r="AI160" s="98"/>
      <c r="AJ160" s="98"/>
      <c r="AK160" s="98"/>
      <c r="AL160" s="98"/>
      <c r="AM160" s="98"/>
      <c r="AN160" s="98"/>
      <c r="AO160" s="98"/>
      <c r="AP160" s="98"/>
      <c r="AQ160" s="98"/>
      <c r="AR160" s="98"/>
      <c r="AS160" s="98"/>
      <c r="AT160" s="98"/>
      <c r="AU160" s="98"/>
      <c r="AV160" s="98"/>
      <c r="AW160" s="98"/>
      <c r="AX160" s="98"/>
      <c r="AY160" s="98"/>
      <c r="AZ160" s="98"/>
      <c r="BA160" s="98"/>
      <c r="BB160" s="98"/>
      <c r="BC160" s="98"/>
      <c r="BD160" s="98"/>
      <c r="BE160" s="98"/>
      <c r="BF160" s="98"/>
      <c r="BG160" s="98"/>
      <c r="BH160" s="98"/>
      <c r="BI160" s="98"/>
      <c r="BJ160" s="98"/>
      <c r="BK160" s="98"/>
      <c r="BL160" s="98"/>
      <c r="BM160" s="98"/>
      <c r="BN160" s="98"/>
      <c r="BO160" s="98"/>
      <c r="BP160" s="98"/>
      <c r="BQ160" s="98"/>
      <c r="BR160" s="98"/>
      <c r="BS160" s="98"/>
      <c r="BT160" s="98"/>
      <c r="BU160" s="98"/>
      <c r="BV160" s="98"/>
      <c r="BW160" s="98"/>
      <c r="BX160" s="98"/>
      <c r="BY160" s="98"/>
      <c r="BZ160" s="98"/>
      <c r="CA160" s="98"/>
    </row>
    <row r="161" ht="15.75" customHeight="1">
      <c r="A161" s="98"/>
      <c r="B161" s="98"/>
      <c r="C161" s="98"/>
      <c r="D161" s="98"/>
      <c r="E161" s="98"/>
      <c r="F161" s="98"/>
      <c r="G161" s="98"/>
      <c r="H161" s="98"/>
      <c r="I161" s="99"/>
      <c r="J161" s="99"/>
      <c r="K161" s="99"/>
      <c r="L161" s="99"/>
      <c r="M161" s="99"/>
      <c r="N161" s="99"/>
      <c r="O161" s="99"/>
      <c r="P161" s="99"/>
      <c r="Q161" s="99"/>
      <c r="R161" s="99"/>
      <c r="S161" s="98"/>
      <c r="T161" s="98"/>
      <c r="U161" s="98"/>
      <c r="V161" s="98"/>
      <c r="W161" s="98"/>
      <c r="X161" s="98"/>
      <c r="Y161" s="98"/>
      <c r="Z161" s="98"/>
      <c r="AA161" s="98"/>
      <c r="AB161" s="98"/>
      <c r="AC161" s="98"/>
      <c r="AD161" s="98"/>
      <c r="AE161" s="98"/>
      <c r="AF161" s="98"/>
      <c r="AG161" s="98"/>
      <c r="AH161" s="98"/>
      <c r="AI161" s="98"/>
      <c r="AJ161" s="98"/>
      <c r="AK161" s="98"/>
      <c r="AL161" s="98"/>
      <c r="AM161" s="98"/>
      <c r="AN161" s="98"/>
      <c r="AO161" s="98"/>
      <c r="AP161" s="98"/>
      <c r="AQ161" s="98"/>
      <c r="AR161" s="98"/>
      <c r="AS161" s="98"/>
      <c r="AT161" s="98"/>
      <c r="AU161" s="98"/>
      <c r="AV161" s="98"/>
      <c r="AW161" s="98"/>
      <c r="AX161" s="98"/>
      <c r="AY161" s="98"/>
      <c r="AZ161" s="98"/>
      <c r="BA161" s="98"/>
      <c r="BB161" s="98"/>
      <c r="BC161" s="98"/>
      <c r="BD161" s="98"/>
      <c r="BE161" s="98"/>
      <c r="BF161" s="98"/>
      <c r="BG161" s="98"/>
      <c r="BH161" s="98"/>
      <c r="BI161" s="98"/>
      <c r="BJ161" s="98"/>
      <c r="BK161" s="98"/>
      <c r="BL161" s="98"/>
      <c r="BM161" s="98"/>
      <c r="BN161" s="98"/>
      <c r="BO161" s="98"/>
      <c r="BP161" s="98"/>
      <c r="BQ161" s="98"/>
      <c r="BR161" s="98"/>
      <c r="BS161" s="98"/>
      <c r="BT161" s="98"/>
      <c r="BU161" s="98"/>
      <c r="BV161" s="98"/>
      <c r="BW161" s="98"/>
      <c r="BX161" s="98"/>
      <c r="BY161" s="98"/>
      <c r="BZ161" s="98"/>
      <c r="CA161" s="98"/>
    </row>
    <row r="162" ht="15.75" customHeight="1">
      <c r="A162" s="98"/>
      <c r="B162" s="98"/>
      <c r="C162" s="98"/>
      <c r="D162" s="98"/>
      <c r="E162" s="98"/>
      <c r="F162" s="98"/>
      <c r="G162" s="98"/>
      <c r="H162" s="98"/>
      <c r="I162" s="99"/>
      <c r="J162" s="99"/>
      <c r="K162" s="99"/>
      <c r="L162" s="99"/>
      <c r="M162" s="99"/>
      <c r="N162" s="99"/>
      <c r="O162" s="99"/>
      <c r="P162" s="99"/>
      <c r="Q162" s="99"/>
      <c r="R162" s="99"/>
      <c r="S162" s="98"/>
      <c r="T162" s="98"/>
      <c r="U162" s="98"/>
      <c r="V162" s="98"/>
      <c r="W162" s="98"/>
      <c r="X162" s="98"/>
      <c r="Y162" s="98"/>
      <c r="Z162" s="98"/>
      <c r="AA162" s="98"/>
      <c r="AB162" s="98"/>
      <c r="AC162" s="98"/>
      <c r="AD162" s="98"/>
      <c r="AE162" s="98"/>
      <c r="AF162" s="98"/>
      <c r="AG162" s="98"/>
      <c r="AH162" s="98"/>
      <c r="AI162" s="98"/>
      <c r="AJ162" s="98"/>
      <c r="AK162" s="98"/>
      <c r="AL162" s="98"/>
      <c r="AM162" s="98"/>
      <c r="AN162" s="98"/>
      <c r="AO162" s="98"/>
      <c r="AP162" s="98"/>
      <c r="AQ162" s="98"/>
      <c r="AR162" s="98"/>
      <c r="AS162" s="98"/>
      <c r="AT162" s="98"/>
      <c r="AU162" s="98"/>
      <c r="AV162" s="98"/>
      <c r="AW162" s="98"/>
      <c r="AX162" s="98"/>
      <c r="AY162" s="98"/>
      <c r="AZ162" s="98"/>
      <c r="BA162" s="98"/>
      <c r="BB162" s="98"/>
      <c r="BC162" s="98"/>
      <c r="BD162" s="98"/>
      <c r="BE162" s="98"/>
      <c r="BF162" s="98"/>
      <c r="BG162" s="98"/>
      <c r="BH162" s="98"/>
      <c r="BI162" s="98"/>
      <c r="BJ162" s="98"/>
      <c r="BK162" s="98"/>
      <c r="BL162" s="98"/>
      <c r="BM162" s="98"/>
      <c r="BN162" s="98"/>
      <c r="BO162" s="98"/>
      <c r="BP162" s="98"/>
      <c r="BQ162" s="98"/>
      <c r="BR162" s="98"/>
      <c r="BS162" s="98"/>
      <c r="BT162" s="98"/>
      <c r="BU162" s="98"/>
      <c r="BV162" s="98"/>
      <c r="BW162" s="98"/>
      <c r="BX162" s="98"/>
      <c r="BY162" s="98"/>
      <c r="BZ162" s="98"/>
      <c r="CA162" s="98"/>
    </row>
    <row r="163" ht="15.75" customHeight="1">
      <c r="A163" s="98"/>
      <c r="B163" s="98"/>
      <c r="C163" s="98"/>
      <c r="D163" s="98"/>
      <c r="E163" s="98"/>
      <c r="F163" s="98"/>
      <c r="G163" s="98"/>
      <c r="H163" s="98"/>
      <c r="I163" s="99"/>
      <c r="J163" s="99"/>
      <c r="K163" s="99"/>
      <c r="L163" s="99"/>
      <c r="M163" s="99"/>
      <c r="N163" s="99"/>
      <c r="O163" s="99"/>
      <c r="P163" s="99"/>
      <c r="Q163" s="99"/>
      <c r="R163" s="99"/>
      <c r="S163" s="98"/>
      <c r="T163" s="98"/>
      <c r="U163" s="98"/>
      <c r="V163" s="98"/>
      <c r="W163" s="98"/>
      <c r="X163" s="98"/>
      <c r="Y163" s="98"/>
      <c r="Z163" s="98"/>
      <c r="AA163" s="98"/>
      <c r="AB163" s="98"/>
      <c r="AC163" s="98"/>
      <c r="AD163" s="98"/>
      <c r="AE163" s="98"/>
      <c r="AF163" s="98"/>
      <c r="AG163" s="98"/>
      <c r="AH163" s="98"/>
      <c r="AI163" s="98"/>
      <c r="AJ163" s="98"/>
      <c r="AK163" s="98"/>
      <c r="AL163" s="98"/>
      <c r="AM163" s="98"/>
      <c r="AN163" s="98"/>
      <c r="AO163" s="98"/>
      <c r="AP163" s="98"/>
      <c r="AQ163" s="98"/>
      <c r="AR163" s="98"/>
      <c r="AS163" s="98"/>
      <c r="AT163" s="98"/>
      <c r="AU163" s="98"/>
      <c r="AV163" s="98"/>
      <c r="AW163" s="98"/>
      <c r="AX163" s="98"/>
      <c r="AY163" s="98"/>
      <c r="AZ163" s="98"/>
      <c r="BA163" s="98"/>
      <c r="BB163" s="98"/>
      <c r="BC163" s="98"/>
      <c r="BD163" s="98"/>
      <c r="BE163" s="98"/>
      <c r="BF163" s="98"/>
      <c r="BG163" s="98"/>
      <c r="BH163" s="98"/>
      <c r="BI163" s="98"/>
      <c r="BJ163" s="98"/>
      <c r="BK163" s="98"/>
      <c r="BL163" s="98"/>
      <c r="BM163" s="98"/>
      <c r="BN163" s="98"/>
      <c r="BO163" s="98"/>
      <c r="BP163" s="98"/>
      <c r="BQ163" s="98"/>
      <c r="BR163" s="98"/>
      <c r="BS163" s="98"/>
      <c r="BT163" s="98"/>
      <c r="BU163" s="98"/>
      <c r="BV163" s="98"/>
      <c r="BW163" s="98"/>
      <c r="BX163" s="98"/>
      <c r="BY163" s="98"/>
      <c r="BZ163" s="98"/>
      <c r="CA163" s="98"/>
    </row>
    <row r="164" ht="15.75" customHeight="1">
      <c r="A164" s="98"/>
      <c r="B164" s="98"/>
      <c r="C164" s="98"/>
      <c r="D164" s="98"/>
      <c r="E164" s="98"/>
      <c r="F164" s="98"/>
      <c r="G164" s="98"/>
      <c r="H164" s="98"/>
      <c r="I164" s="99"/>
      <c r="J164" s="99"/>
      <c r="K164" s="99"/>
      <c r="L164" s="99"/>
      <c r="M164" s="99"/>
      <c r="N164" s="99"/>
      <c r="O164" s="99"/>
      <c r="P164" s="99"/>
      <c r="Q164" s="99"/>
      <c r="R164" s="99"/>
      <c r="S164" s="98"/>
      <c r="T164" s="98"/>
      <c r="U164" s="98"/>
      <c r="V164" s="98"/>
      <c r="W164" s="98"/>
      <c r="X164" s="98"/>
      <c r="Y164" s="98"/>
      <c r="Z164" s="98"/>
      <c r="AA164" s="98"/>
      <c r="AB164" s="98"/>
      <c r="AC164" s="98"/>
      <c r="AD164" s="98"/>
      <c r="AE164" s="98"/>
      <c r="AF164" s="98"/>
      <c r="AG164" s="98"/>
      <c r="AH164" s="98"/>
      <c r="AI164" s="98"/>
      <c r="AJ164" s="98"/>
      <c r="AK164" s="98"/>
      <c r="AL164" s="98"/>
      <c r="AM164" s="98"/>
      <c r="AN164" s="98"/>
      <c r="AO164" s="98"/>
      <c r="AP164" s="98"/>
      <c r="AQ164" s="98"/>
      <c r="AR164" s="98"/>
      <c r="AS164" s="98"/>
      <c r="AT164" s="98"/>
      <c r="AU164" s="98"/>
      <c r="AV164" s="98"/>
      <c r="AW164" s="98"/>
      <c r="AX164" s="98"/>
      <c r="AY164" s="98"/>
      <c r="AZ164" s="98"/>
      <c r="BA164" s="98"/>
      <c r="BB164" s="98"/>
      <c r="BC164" s="98"/>
      <c r="BD164" s="98"/>
      <c r="BE164" s="98"/>
      <c r="BF164" s="98"/>
      <c r="BG164" s="98"/>
      <c r="BH164" s="98"/>
      <c r="BI164" s="98"/>
      <c r="BJ164" s="98"/>
      <c r="BK164" s="98"/>
      <c r="BL164" s="98"/>
      <c r="BM164" s="98"/>
      <c r="BN164" s="98"/>
      <c r="BO164" s="98"/>
      <c r="BP164" s="98"/>
      <c r="BQ164" s="98"/>
      <c r="BR164" s="98"/>
      <c r="BS164" s="98"/>
      <c r="BT164" s="98"/>
      <c r="BU164" s="98"/>
      <c r="BV164" s="98"/>
      <c r="BW164" s="98"/>
      <c r="BX164" s="98"/>
      <c r="BY164" s="98"/>
      <c r="BZ164" s="98"/>
      <c r="CA164" s="98"/>
    </row>
    <row r="165" ht="15.75" customHeight="1">
      <c r="A165" s="98"/>
      <c r="B165" s="98"/>
      <c r="C165" s="98"/>
      <c r="D165" s="98"/>
      <c r="E165" s="98"/>
      <c r="F165" s="98"/>
      <c r="G165" s="98"/>
      <c r="H165" s="98"/>
      <c r="I165" s="99"/>
      <c r="J165" s="99"/>
      <c r="K165" s="99"/>
      <c r="L165" s="99"/>
      <c r="M165" s="99"/>
      <c r="N165" s="99"/>
      <c r="O165" s="99"/>
      <c r="P165" s="99"/>
      <c r="Q165" s="99"/>
      <c r="R165" s="99"/>
      <c r="S165" s="98"/>
      <c r="T165" s="98"/>
      <c r="U165" s="98"/>
      <c r="V165" s="98"/>
      <c r="W165" s="98"/>
      <c r="X165" s="98"/>
      <c r="Y165" s="98"/>
      <c r="Z165" s="98"/>
      <c r="AA165" s="98"/>
      <c r="AB165" s="98"/>
      <c r="AC165" s="98"/>
      <c r="AD165" s="98"/>
      <c r="AE165" s="98"/>
      <c r="AF165" s="98"/>
      <c r="AG165" s="98"/>
      <c r="AH165" s="98"/>
      <c r="AI165" s="98"/>
      <c r="AJ165" s="98"/>
      <c r="AK165" s="98"/>
      <c r="AL165" s="98"/>
      <c r="AM165" s="98"/>
      <c r="AN165" s="98"/>
      <c r="AO165" s="98"/>
      <c r="AP165" s="98"/>
      <c r="AQ165" s="98"/>
      <c r="AR165" s="98"/>
      <c r="AS165" s="98"/>
      <c r="AT165" s="98"/>
      <c r="AU165" s="98"/>
      <c r="AV165" s="98"/>
      <c r="AW165" s="98"/>
      <c r="AX165" s="98"/>
      <c r="AY165" s="98"/>
      <c r="AZ165" s="98"/>
      <c r="BA165" s="98"/>
      <c r="BB165" s="98"/>
      <c r="BC165" s="98"/>
      <c r="BD165" s="98"/>
      <c r="BE165" s="98"/>
      <c r="BF165" s="98"/>
      <c r="BG165" s="98"/>
      <c r="BH165" s="98"/>
      <c r="BI165" s="98"/>
      <c r="BJ165" s="98"/>
      <c r="BK165" s="98"/>
      <c r="BL165" s="98"/>
      <c r="BM165" s="98"/>
      <c r="BN165" s="98"/>
      <c r="BO165" s="98"/>
      <c r="BP165" s="98"/>
      <c r="BQ165" s="98"/>
      <c r="BR165" s="98"/>
      <c r="BS165" s="98"/>
      <c r="BT165" s="98"/>
      <c r="BU165" s="98"/>
      <c r="BV165" s="98"/>
      <c r="BW165" s="98"/>
      <c r="BX165" s="98"/>
      <c r="BY165" s="98"/>
      <c r="BZ165" s="98"/>
      <c r="CA165" s="98"/>
    </row>
    <row r="166" ht="15.75" customHeight="1">
      <c r="A166" s="98"/>
      <c r="B166" s="98"/>
      <c r="C166" s="98"/>
      <c r="D166" s="98"/>
      <c r="E166" s="98"/>
      <c r="F166" s="98"/>
      <c r="G166" s="98"/>
      <c r="H166" s="98"/>
      <c r="I166" s="99"/>
      <c r="J166" s="99"/>
      <c r="K166" s="99"/>
      <c r="L166" s="99"/>
      <c r="M166" s="99"/>
      <c r="N166" s="99"/>
      <c r="O166" s="99"/>
      <c r="P166" s="99"/>
      <c r="Q166" s="99"/>
      <c r="R166" s="99"/>
      <c r="S166" s="98"/>
      <c r="T166" s="98"/>
      <c r="U166" s="98"/>
      <c r="V166" s="98"/>
      <c r="W166" s="98"/>
      <c r="X166" s="98"/>
      <c r="Y166" s="98"/>
      <c r="Z166" s="98"/>
      <c r="AA166" s="98"/>
      <c r="AB166" s="98"/>
      <c r="AC166" s="98"/>
      <c r="AD166" s="98"/>
      <c r="AE166" s="98"/>
      <c r="AF166" s="98"/>
      <c r="AG166" s="98"/>
      <c r="AH166" s="98"/>
      <c r="AI166" s="98"/>
      <c r="AJ166" s="98"/>
      <c r="AK166" s="98"/>
      <c r="AL166" s="98"/>
      <c r="AM166" s="98"/>
      <c r="AN166" s="98"/>
      <c r="AO166" s="98"/>
      <c r="AP166" s="98"/>
      <c r="AQ166" s="98"/>
      <c r="AR166" s="98"/>
      <c r="AS166" s="98"/>
      <c r="AT166" s="98"/>
      <c r="AU166" s="98"/>
      <c r="AV166" s="98"/>
      <c r="AW166" s="98"/>
      <c r="AX166" s="98"/>
      <c r="AY166" s="98"/>
      <c r="AZ166" s="98"/>
      <c r="BA166" s="98"/>
      <c r="BB166" s="98"/>
      <c r="BC166" s="98"/>
      <c r="BD166" s="98"/>
      <c r="BE166" s="98"/>
      <c r="BF166" s="98"/>
      <c r="BG166" s="98"/>
      <c r="BH166" s="98"/>
      <c r="BI166" s="98"/>
      <c r="BJ166" s="98"/>
      <c r="BK166" s="98"/>
      <c r="BL166" s="98"/>
      <c r="BM166" s="98"/>
      <c r="BN166" s="98"/>
      <c r="BO166" s="98"/>
      <c r="BP166" s="98"/>
      <c r="BQ166" s="98"/>
      <c r="BR166" s="98"/>
      <c r="BS166" s="98"/>
      <c r="BT166" s="98"/>
      <c r="BU166" s="98"/>
      <c r="BV166" s="98"/>
      <c r="BW166" s="98"/>
      <c r="BX166" s="98"/>
      <c r="BY166" s="98"/>
      <c r="BZ166" s="98"/>
      <c r="CA166" s="98"/>
    </row>
    <row r="167" ht="15.75" customHeight="1">
      <c r="A167" s="98"/>
      <c r="B167" s="98"/>
      <c r="C167" s="98"/>
      <c r="D167" s="98"/>
      <c r="E167" s="98"/>
      <c r="F167" s="98"/>
      <c r="G167" s="98"/>
      <c r="H167" s="98"/>
      <c r="I167" s="99"/>
      <c r="J167" s="99"/>
      <c r="K167" s="99"/>
      <c r="L167" s="99"/>
      <c r="M167" s="99"/>
      <c r="N167" s="99"/>
      <c r="O167" s="99"/>
      <c r="P167" s="99"/>
      <c r="Q167" s="99"/>
      <c r="R167" s="99"/>
      <c r="S167" s="98"/>
      <c r="T167" s="98"/>
      <c r="U167" s="98"/>
      <c r="V167" s="98"/>
      <c r="W167" s="98"/>
      <c r="X167" s="98"/>
      <c r="Y167" s="98"/>
      <c r="Z167" s="98"/>
      <c r="AA167" s="98"/>
      <c r="AB167" s="98"/>
      <c r="AC167" s="98"/>
      <c r="AD167" s="98"/>
      <c r="AE167" s="98"/>
      <c r="AF167" s="98"/>
      <c r="AG167" s="98"/>
      <c r="AH167" s="98"/>
      <c r="AI167" s="98"/>
      <c r="AJ167" s="98"/>
      <c r="AK167" s="98"/>
      <c r="AL167" s="98"/>
      <c r="AM167" s="98"/>
      <c r="AN167" s="98"/>
      <c r="AO167" s="98"/>
      <c r="AP167" s="98"/>
      <c r="AQ167" s="98"/>
      <c r="AR167" s="98"/>
      <c r="AS167" s="98"/>
      <c r="AT167" s="98"/>
      <c r="AU167" s="98"/>
      <c r="AV167" s="98"/>
      <c r="AW167" s="98"/>
      <c r="AX167" s="98"/>
      <c r="AY167" s="98"/>
      <c r="AZ167" s="98"/>
      <c r="BA167" s="98"/>
      <c r="BB167" s="98"/>
      <c r="BC167" s="98"/>
      <c r="BD167" s="98"/>
      <c r="BE167" s="98"/>
      <c r="BF167" s="98"/>
      <c r="BG167" s="98"/>
      <c r="BH167" s="98"/>
      <c r="BI167" s="98"/>
      <c r="BJ167" s="98"/>
      <c r="BK167" s="98"/>
      <c r="BL167" s="98"/>
      <c r="BM167" s="98"/>
      <c r="BN167" s="98"/>
      <c r="BO167" s="98"/>
      <c r="BP167" s="98"/>
      <c r="BQ167" s="98"/>
      <c r="BR167" s="98"/>
      <c r="BS167" s="98"/>
      <c r="BT167" s="98"/>
      <c r="BU167" s="98"/>
      <c r="BV167" s="98"/>
      <c r="BW167" s="98"/>
      <c r="BX167" s="98"/>
      <c r="BY167" s="98"/>
      <c r="BZ167" s="98"/>
      <c r="CA167" s="98"/>
    </row>
    <row r="168" ht="15.75" customHeight="1">
      <c r="A168" s="98"/>
      <c r="B168" s="98"/>
      <c r="C168" s="98"/>
      <c r="D168" s="98"/>
      <c r="E168" s="98"/>
      <c r="F168" s="98"/>
      <c r="G168" s="98"/>
      <c r="H168" s="98"/>
      <c r="I168" s="99"/>
      <c r="J168" s="99"/>
      <c r="K168" s="99"/>
      <c r="L168" s="99"/>
      <c r="M168" s="99"/>
      <c r="N168" s="99"/>
      <c r="O168" s="99"/>
      <c r="P168" s="99"/>
      <c r="Q168" s="99"/>
      <c r="R168" s="99"/>
      <c r="S168" s="98"/>
      <c r="T168" s="98"/>
      <c r="U168" s="98"/>
      <c r="V168" s="98"/>
      <c r="W168" s="98"/>
      <c r="X168" s="98"/>
      <c r="Y168" s="98"/>
      <c r="Z168" s="98"/>
      <c r="AA168" s="98"/>
      <c r="AB168" s="98"/>
      <c r="AC168" s="98"/>
      <c r="AD168" s="98"/>
      <c r="AE168" s="98"/>
      <c r="AF168" s="98"/>
      <c r="AG168" s="98"/>
      <c r="AH168" s="98"/>
      <c r="AI168" s="98"/>
      <c r="AJ168" s="98"/>
      <c r="AK168" s="98"/>
      <c r="AL168" s="98"/>
      <c r="AM168" s="98"/>
      <c r="AN168" s="98"/>
      <c r="AO168" s="98"/>
      <c r="AP168" s="98"/>
      <c r="AQ168" s="98"/>
      <c r="AR168" s="98"/>
      <c r="AS168" s="98"/>
      <c r="AT168" s="98"/>
      <c r="AU168" s="98"/>
      <c r="AV168" s="98"/>
      <c r="AW168" s="98"/>
      <c r="AX168" s="98"/>
      <c r="AY168" s="98"/>
      <c r="AZ168" s="98"/>
      <c r="BA168" s="98"/>
      <c r="BB168" s="98"/>
      <c r="BC168" s="98"/>
      <c r="BD168" s="98"/>
      <c r="BE168" s="98"/>
      <c r="BF168" s="98"/>
      <c r="BG168" s="98"/>
      <c r="BH168" s="98"/>
      <c r="BI168" s="98"/>
      <c r="BJ168" s="98"/>
      <c r="BK168" s="98"/>
      <c r="BL168" s="98"/>
      <c r="BM168" s="98"/>
      <c r="BN168" s="98"/>
      <c r="BO168" s="98"/>
      <c r="BP168" s="98"/>
      <c r="BQ168" s="98"/>
      <c r="BR168" s="98"/>
      <c r="BS168" s="98"/>
      <c r="BT168" s="98"/>
      <c r="BU168" s="98"/>
      <c r="BV168" s="98"/>
      <c r="BW168" s="98"/>
      <c r="BX168" s="98"/>
      <c r="BY168" s="98"/>
      <c r="BZ168" s="98"/>
      <c r="CA168" s="98"/>
    </row>
    <row r="169" ht="15.75" customHeight="1">
      <c r="A169" s="98"/>
      <c r="B169" s="98"/>
      <c r="C169" s="98"/>
      <c r="D169" s="98"/>
      <c r="E169" s="98"/>
      <c r="F169" s="98"/>
      <c r="G169" s="98"/>
      <c r="H169" s="98"/>
      <c r="I169" s="99"/>
      <c r="J169" s="99"/>
      <c r="K169" s="99"/>
      <c r="L169" s="99"/>
      <c r="M169" s="99"/>
      <c r="N169" s="99"/>
      <c r="O169" s="99"/>
      <c r="P169" s="99"/>
      <c r="Q169" s="99"/>
      <c r="R169" s="99"/>
      <c r="S169" s="98"/>
      <c r="T169" s="98"/>
      <c r="U169" s="98"/>
      <c r="V169" s="98"/>
      <c r="W169" s="98"/>
      <c r="X169" s="98"/>
      <c r="Y169" s="98"/>
      <c r="Z169" s="98"/>
      <c r="AA169" s="98"/>
      <c r="AB169" s="98"/>
      <c r="AC169" s="98"/>
      <c r="AD169" s="98"/>
      <c r="AE169" s="98"/>
      <c r="AF169" s="98"/>
      <c r="AG169" s="98"/>
      <c r="AH169" s="98"/>
      <c r="AI169" s="98"/>
      <c r="AJ169" s="98"/>
      <c r="AK169" s="98"/>
      <c r="AL169" s="98"/>
      <c r="AM169" s="98"/>
      <c r="AN169" s="98"/>
      <c r="AO169" s="98"/>
      <c r="AP169" s="98"/>
      <c r="AQ169" s="98"/>
      <c r="AR169" s="98"/>
      <c r="AS169" s="98"/>
      <c r="AT169" s="98"/>
      <c r="AU169" s="98"/>
      <c r="AV169" s="98"/>
      <c r="AW169" s="98"/>
      <c r="AX169" s="98"/>
      <c r="AY169" s="98"/>
      <c r="AZ169" s="98"/>
      <c r="BA169" s="98"/>
      <c r="BB169" s="98"/>
      <c r="BC169" s="98"/>
      <c r="BD169" s="98"/>
      <c r="BE169" s="98"/>
      <c r="BF169" s="98"/>
      <c r="BG169" s="98"/>
      <c r="BH169" s="98"/>
      <c r="BI169" s="98"/>
      <c r="BJ169" s="98"/>
      <c r="BK169" s="98"/>
      <c r="BL169" s="98"/>
      <c r="BM169" s="98"/>
      <c r="BN169" s="98"/>
      <c r="BO169" s="98"/>
      <c r="BP169" s="98"/>
      <c r="BQ169" s="98"/>
      <c r="BR169" s="98"/>
      <c r="BS169" s="98"/>
      <c r="BT169" s="98"/>
      <c r="BU169" s="98"/>
      <c r="BV169" s="98"/>
      <c r="BW169" s="98"/>
      <c r="BX169" s="98"/>
      <c r="BY169" s="98"/>
      <c r="BZ169" s="98"/>
      <c r="CA169" s="98"/>
    </row>
    <row r="170" ht="15.75" customHeight="1">
      <c r="A170" s="98"/>
      <c r="B170" s="98"/>
      <c r="C170" s="98"/>
      <c r="D170" s="98"/>
      <c r="E170" s="98"/>
      <c r="F170" s="98"/>
      <c r="G170" s="98"/>
      <c r="H170" s="98"/>
      <c r="I170" s="99"/>
      <c r="J170" s="99"/>
      <c r="K170" s="99"/>
      <c r="L170" s="99"/>
      <c r="M170" s="99"/>
      <c r="N170" s="99"/>
      <c r="O170" s="99"/>
      <c r="P170" s="99"/>
      <c r="Q170" s="99"/>
      <c r="R170" s="99"/>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c r="AP170" s="98"/>
      <c r="AQ170" s="98"/>
      <c r="AR170" s="98"/>
      <c r="AS170" s="98"/>
      <c r="AT170" s="98"/>
      <c r="AU170" s="98"/>
      <c r="AV170" s="98"/>
      <c r="AW170" s="98"/>
      <c r="AX170" s="98"/>
      <c r="AY170" s="98"/>
      <c r="AZ170" s="98"/>
      <c r="BA170" s="98"/>
      <c r="BB170" s="98"/>
      <c r="BC170" s="98"/>
      <c r="BD170" s="98"/>
      <c r="BE170" s="98"/>
      <c r="BF170" s="98"/>
      <c r="BG170" s="98"/>
      <c r="BH170" s="98"/>
      <c r="BI170" s="98"/>
      <c r="BJ170" s="98"/>
      <c r="BK170" s="98"/>
      <c r="BL170" s="98"/>
      <c r="BM170" s="98"/>
      <c r="BN170" s="98"/>
      <c r="BO170" s="98"/>
      <c r="BP170" s="98"/>
      <c r="BQ170" s="98"/>
      <c r="BR170" s="98"/>
      <c r="BS170" s="98"/>
      <c r="BT170" s="98"/>
      <c r="BU170" s="98"/>
      <c r="BV170" s="98"/>
      <c r="BW170" s="98"/>
      <c r="BX170" s="98"/>
      <c r="BY170" s="98"/>
      <c r="BZ170" s="98"/>
      <c r="CA170" s="98"/>
    </row>
    <row r="171" ht="15.75" customHeight="1">
      <c r="A171" s="98"/>
      <c r="B171" s="98"/>
      <c r="C171" s="98"/>
      <c r="D171" s="98"/>
      <c r="E171" s="98"/>
      <c r="F171" s="98"/>
      <c r="G171" s="98"/>
      <c r="H171" s="98"/>
      <c r="I171" s="99"/>
      <c r="J171" s="99"/>
      <c r="K171" s="99"/>
      <c r="L171" s="99"/>
      <c r="M171" s="99"/>
      <c r="N171" s="99"/>
      <c r="O171" s="99"/>
      <c r="P171" s="99"/>
      <c r="Q171" s="99"/>
      <c r="R171" s="99"/>
      <c r="S171" s="98"/>
      <c r="T171" s="98"/>
      <c r="U171" s="98"/>
      <c r="V171" s="98"/>
      <c r="W171" s="98"/>
      <c r="X171" s="98"/>
      <c r="Y171" s="98"/>
      <c r="Z171" s="98"/>
      <c r="AA171" s="98"/>
      <c r="AB171" s="98"/>
      <c r="AC171" s="98"/>
      <c r="AD171" s="98"/>
      <c r="AE171" s="98"/>
      <c r="AF171" s="98"/>
      <c r="AG171" s="98"/>
      <c r="AH171" s="98"/>
      <c r="AI171" s="98"/>
      <c r="AJ171" s="98"/>
      <c r="AK171" s="98"/>
      <c r="AL171" s="98"/>
      <c r="AM171" s="98"/>
      <c r="AN171" s="98"/>
      <c r="AO171" s="98"/>
      <c r="AP171" s="98"/>
      <c r="AQ171" s="98"/>
      <c r="AR171" s="98"/>
      <c r="AS171" s="98"/>
      <c r="AT171" s="98"/>
      <c r="AU171" s="98"/>
      <c r="AV171" s="98"/>
      <c r="AW171" s="98"/>
      <c r="AX171" s="98"/>
      <c r="AY171" s="98"/>
      <c r="AZ171" s="98"/>
      <c r="BA171" s="98"/>
      <c r="BB171" s="98"/>
      <c r="BC171" s="98"/>
      <c r="BD171" s="98"/>
      <c r="BE171" s="98"/>
      <c r="BF171" s="98"/>
      <c r="BG171" s="98"/>
      <c r="BH171" s="98"/>
      <c r="BI171" s="98"/>
      <c r="BJ171" s="98"/>
      <c r="BK171" s="98"/>
      <c r="BL171" s="98"/>
      <c r="BM171" s="98"/>
      <c r="BN171" s="98"/>
      <c r="BO171" s="98"/>
      <c r="BP171" s="98"/>
      <c r="BQ171" s="98"/>
      <c r="BR171" s="98"/>
      <c r="BS171" s="98"/>
      <c r="BT171" s="98"/>
      <c r="BU171" s="98"/>
      <c r="BV171" s="98"/>
      <c r="BW171" s="98"/>
      <c r="BX171" s="98"/>
      <c r="BY171" s="98"/>
      <c r="BZ171" s="98"/>
      <c r="CA171" s="98"/>
    </row>
    <row r="172" ht="15.75" customHeight="1">
      <c r="A172" s="98"/>
      <c r="B172" s="98"/>
      <c r="C172" s="98"/>
      <c r="D172" s="98"/>
      <c r="E172" s="98"/>
      <c r="F172" s="98"/>
      <c r="G172" s="98"/>
      <c r="H172" s="98"/>
      <c r="I172" s="99"/>
      <c r="J172" s="99"/>
      <c r="K172" s="99"/>
      <c r="L172" s="99"/>
      <c r="M172" s="99"/>
      <c r="N172" s="99"/>
      <c r="O172" s="99"/>
      <c r="P172" s="99"/>
      <c r="Q172" s="99"/>
      <c r="R172" s="99"/>
      <c r="S172" s="98"/>
      <c r="T172" s="98"/>
      <c r="U172" s="98"/>
      <c r="V172" s="98"/>
      <c r="W172" s="98"/>
      <c r="X172" s="98"/>
      <c r="Y172" s="98"/>
      <c r="Z172" s="98"/>
      <c r="AA172" s="98"/>
      <c r="AB172" s="98"/>
      <c r="AC172" s="98"/>
      <c r="AD172" s="98"/>
      <c r="AE172" s="98"/>
      <c r="AF172" s="98"/>
      <c r="AG172" s="98"/>
      <c r="AH172" s="98"/>
      <c r="AI172" s="98"/>
      <c r="AJ172" s="98"/>
      <c r="AK172" s="98"/>
      <c r="AL172" s="98"/>
      <c r="AM172" s="98"/>
      <c r="AN172" s="98"/>
      <c r="AO172" s="98"/>
      <c r="AP172" s="98"/>
      <c r="AQ172" s="98"/>
      <c r="AR172" s="98"/>
      <c r="AS172" s="98"/>
      <c r="AT172" s="98"/>
      <c r="AU172" s="98"/>
      <c r="AV172" s="98"/>
      <c r="AW172" s="98"/>
      <c r="AX172" s="98"/>
      <c r="AY172" s="98"/>
      <c r="AZ172" s="98"/>
      <c r="BA172" s="98"/>
      <c r="BB172" s="98"/>
      <c r="BC172" s="98"/>
      <c r="BD172" s="98"/>
      <c r="BE172" s="98"/>
      <c r="BF172" s="98"/>
      <c r="BG172" s="98"/>
      <c r="BH172" s="98"/>
      <c r="BI172" s="98"/>
      <c r="BJ172" s="98"/>
      <c r="BK172" s="98"/>
      <c r="BL172" s="98"/>
      <c r="BM172" s="98"/>
      <c r="BN172" s="98"/>
      <c r="BO172" s="98"/>
      <c r="BP172" s="98"/>
      <c r="BQ172" s="98"/>
      <c r="BR172" s="98"/>
      <c r="BS172" s="98"/>
      <c r="BT172" s="98"/>
      <c r="BU172" s="98"/>
      <c r="BV172" s="98"/>
      <c r="BW172" s="98"/>
      <c r="BX172" s="98"/>
      <c r="BY172" s="98"/>
      <c r="BZ172" s="98"/>
      <c r="CA172" s="98"/>
    </row>
    <row r="173" ht="15.75" customHeight="1">
      <c r="A173" s="98"/>
      <c r="B173" s="98"/>
      <c r="C173" s="98"/>
      <c r="D173" s="98"/>
      <c r="E173" s="98"/>
      <c r="F173" s="98"/>
      <c r="G173" s="98"/>
      <c r="H173" s="98"/>
      <c r="I173" s="99"/>
      <c r="J173" s="99"/>
      <c r="K173" s="99"/>
      <c r="L173" s="99"/>
      <c r="M173" s="99"/>
      <c r="N173" s="99"/>
      <c r="O173" s="99"/>
      <c r="P173" s="99"/>
      <c r="Q173" s="99"/>
      <c r="R173" s="99"/>
      <c r="S173" s="98"/>
      <c r="T173" s="98"/>
      <c r="U173" s="98"/>
      <c r="V173" s="98"/>
      <c r="W173" s="98"/>
      <c r="X173" s="98"/>
      <c r="Y173" s="98"/>
      <c r="Z173" s="98"/>
      <c r="AA173" s="98"/>
      <c r="AB173" s="98"/>
      <c r="AC173" s="98"/>
      <c r="AD173" s="98"/>
      <c r="AE173" s="98"/>
      <c r="AF173" s="98"/>
      <c r="AG173" s="98"/>
      <c r="AH173" s="98"/>
      <c r="AI173" s="98"/>
      <c r="AJ173" s="98"/>
      <c r="AK173" s="98"/>
      <c r="AL173" s="98"/>
      <c r="AM173" s="98"/>
      <c r="AN173" s="98"/>
      <c r="AO173" s="98"/>
      <c r="AP173" s="98"/>
      <c r="AQ173" s="98"/>
      <c r="AR173" s="98"/>
      <c r="AS173" s="98"/>
      <c r="AT173" s="98"/>
      <c r="AU173" s="98"/>
      <c r="AV173" s="98"/>
      <c r="AW173" s="98"/>
      <c r="AX173" s="98"/>
      <c r="AY173" s="98"/>
      <c r="AZ173" s="98"/>
      <c r="BA173" s="98"/>
      <c r="BB173" s="98"/>
      <c r="BC173" s="98"/>
      <c r="BD173" s="98"/>
      <c r="BE173" s="98"/>
      <c r="BF173" s="98"/>
      <c r="BG173" s="98"/>
      <c r="BH173" s="98"/>
      <c r="BI173" s="98"/>
      <c r="BJ173" s="98"/>
      <c r="BK173" s="98"/>
      <c r="BL173" s="98"/>
      <c r="BM173" s="98"/>
      <c r="BN173" s="98"/>
      <c r="BO173" s="98"/>
      <c r="BP173" s="98"/>
      <c r="BQ173" s="98"/>
      <c r="BR173" s="98"/>
      <c r="BS173" s="98"/>
      <c r="BT173" s="98"/>
      <c r="BU173" s="98"/>
      <c r="BV173" s="98"/>
      <c r="BW173" s="98"/>
      <c r="BX173" s="98"/>
      <c r="BY173" s="98"/>
      <c r="BZ173" s="98"/>
      <c r="CA173" s="98"/>
    </row>
    <row r="174" ht="15.75" customHeight="1">
      <c r="A174" s="98"/>
      <c r="B174" s="98"/>
      <c r="C174" s="98"/>
      <c r="D174" s="98"/>
      <c r="E174" s="98"/>
      <c r="F174" s="98"/>
      <c r="G174" s="98"/>
      <c r="H174" s="98"/>
      <c r="I174" s="99"/>
      <c r="J174" s="99"/>
      <c r="K174" s="99"/>
      <c r="L174" s="99"/>
      <c r="M174" s="99"/>
      <c r="N174" s="99"/>
      <c r="O174" s="99"/>
      <c r="P174" s="99"/>
      <c r="Q174" s="99"/>
      <c r="R174" s="99"/>
      <c r="S174" s="98"/>
      <c r="T174" s="98"/>
      <c r="U174" s="98"/>
      <c r="V174" s="98"/>
      <c r="W174" s="98"/>
      <c r="X174" s="98"/>
      <c r="Y174" s="98"/>
      <c r="Z174" s="98"/>
      <c r="AA174" s="98"/>
      <c r="AB174" s="98"/>
      <c r="AC174" s="98"/>
      <c r="AD174" s="98"/>
      <c r="AE174" s="98"/>
      <c r="AF174" s="98"/>
      <c r="AG174" s="98"/>
      <c r="AH174" s="98"/>
      <c r="AI174" s="98"/>
      <c r="AJ174" s="98"/>
      <c r="AK174" s="98"/>
      <c r="AL174" s="98"/>
      <c r="AM174" s="98"/>
      <c r="AN174" s="98"/>
      <c r="AO174" s="98"/>
      <c r="AP174" s="98"/>
      <c r="AQ174" s="98"/>
      <c r="AR174" s="98"/>
      <c r="AS174" s="98"/>
      <c r="AT174" s="98"/>
      <c r="AU174" s="98"/>
      <c r="AV174" s="98"/>
      <c r="AW174" s="98"/>
      <c r="AX174" s="98"/>
      <c r="AY174" s="98"/>
      <c r="AZ174" s="98"/>
      <c r="BA174" s="98"/>
      <c r="BB174" s="98"/>
      <c r="BC174" s="98"/>
      <c r="BD174" s="98"/>
      <c r="BE174" s="98"/>
      <c r="BF174" s="98"/>
      <c r="BG174" s="98"/>
      <c r="BH174" s="98"/>
      <c r="BI174" s="98"/>
      <c r="BJ174" s="98"/>
      <c r="BK174" s="98"/>
      <c r="BL174" s="98"/>
      <c r="BM174" s="98"/>
      <c r="BN174" s="98"/>
      <c r="BO174" s="98"/>
      <c r="BP174" s="98"/>
      <c r="BQ174" s="98"/>
      <c r="BR174" s="98"/>
      <c r="BS174" s="98"/>
      <c r="BT174" s="98"/>
      <c r="BU174" s="98"/>
      <c r="BV174" s="98"/>
      <c r="BW174" s="98"/>
      <c r="BX174" s="98"/>
      <c r="BY174" s="98"/>
      <c r="BZ174" s="98"/>
      <c r="CA174" s="98"/>
    </row>
    <row r="175" ht="15.75" customHeight="1">
      <c r="A175" s="98"/>
      <c r="B175" s="98"/>
      <c r="C175" s="98"/>
      <c r="D175" s="98"/>
      <c r="E175" s="98"/>
      <c r="F175" s="98"/>
      <c r="G175" s="98"/>
      <c r="H175" s="98"/>
      <c r="I175" s="99"/>
      <c r="J175" s="99"/>
      <c r="K175" s="99"/>
      <c r="L175" s="99"/>
      <c r="M175" s="99"/>
      <c r="N175" s="99"/>
      <c r="O175" s="99"/>
      <c r="P175" s="99"/>
      <c r="Q175" s="99"/>
      <c r="R175" s="99"/>
      <c r="S175" s="98"/>
      <c r="T175" s="98"/>
      <c r="U175" s="98"/>
      <c r="V175" s="98"/>
      <c r="W175" s="98"/>
      <c r="X175" s="98"/>
      <c r="Y175" s="98"/>
      <c r="Z175" s="98"/>
      <c r="AA175" s="98"/>
      <c r="AB175" s="98"/>
      <c r="AC175" s="98"/>
      <c r="AD175" s="98"/>
      <c r="AE175" s="98"/>
      <c r="AF175" s="98"/>
      <c r="AG175" s="98"/>
      <c r="AH175" s="98"/>
      <c r="AI175" s="98"/>
      <c r="AJ175" s="98"/>
      <c r="AK175" s="98"/>
      <c r="AL175" s="98"/>
      <c r="AM175" s="98"/>
      <c r="AN175" s="98"/>
      <c r="AO175" s="98"/>
      <c r="AP175" s="98"/>
      <c r="AQ175" s="98"/>
      <c r="AR175" s="98"/>
      <c r="AS175" s="98"/>
      <c r="AT175" s="98"/>
      <c r="AU175" s="98"/>
      <c r="AV175" s="98"/>
      <c r="AW175" s="98"/>
      <c r="AX175" s="98"/>
      <c r="AY175" s="98"/>
      <c r="AZ175" s="98"/>
      <c r="BA175" s="98"/>
      <c r="BB175" s="98"/>
      <c r="BC175" s="98"/>
      <c r="BD175" s="98"/>
      <c r="BE175" s="98"/>
      <c r="BF175" s="98"/>
      <c r="BG175" s="98"/>
      <c r="BH175" s="98"/>
      <c r="BI175" s="98"/>
      <c r="BJ175" s="98"/>
      <c r="BK175" s="98"/>
      <c r="BL175" s="98"/>
      <c r="BM175" s="98"/>
      <c r="BN175" s="98"/>
      <c r="BO175" s="98"/>
      <c r="BP175" s="98"/>
      <c r="BQ175" s="98"/>
      <c r="BR175" s="98"/>
      <c r="BS175" s="98"/>
      <c r="BT175" s="98"/>
      <c r="BU175" s="98"/>
      <c r="BV175" s="98"/>
      <c r="BW175" s="98"/>
      <c r="BX175" s="98"/>
      <c r="BY175" s="98"/>
      <c r="BZ175" s="98"/>
      <c r="CA175" s="98"/>
    </row>
    <row r="176" ht="15.75" customHeight="1">
      <c r="A176" s="98"/>
      <c r="B176" s="98"/>
      <c r="C176" s="98"/>
      <c r="D176" s="98"/>
      <c r="E176" s="98"/>
      <c r="F176" s="98"/>
      <c r="G176" s="98"/>
      <c r="H176" s="98"/>
      <c r="I176" s="99"/>
      <c r="J176" s="99"/>
      <c r="K176" s="99"/>
      <c r="L176" s="99"/>
      <c r="M176" s="99"/>
      <c r="N176" s="99"/>
      <c r="O176" s="99"/>
      <c r="P176" s="99"/>
      <c r="Q176" s="99"/>
      <c r="R176" s="99"/>
      <c r="S176" s="98"/>
      <c r="T176" s="98"/>
      <c r="U176" s="98"/>
      <c r="V176" s="98"/>
      <c r="W176" s="98"/>
      <c r="X176" s="98"/>
      <c r="Y176" s="98"/>
      <c r="Z176" s="98"/>
      <c r="AA176" s="98"/>
      <c r="AB176" s="98"/>
      <c r="AC176" s="98"/>
      <c r="AD176" s="98"/>
      <c r="AE176" s="98"/>
      <c r="AF176" s="98"/>
      <c r="AG176" s="98"/>
      <c r="AH176" s="98"/>
      <c r="AI176" s="98"/>
      <c r="AJ176" s="98"/>
      <c r="AK176" s="98"/>
      <c r="AL176" s="98"/>
      <c r="AM176" s="98"/>
      <c r="AN176" s="98"/>
      <c r="AO176" s="98"/>
      <c r="AP176" s="98"/>
      <c r="AQ176" s="98"/>
      <c r="AR176" s="98"/>
      <c r="AS176" s="98"/>
      <c r="AT176" s="98"/>
      <c r="AU176" s="98"/>
      <c r="AV176" s="98"/>
      <c r="AW176" s="98"/>
      <c r="AX176" s="98"/>
      <c r="AY176" s="98"/>
      <c r="AZ176" s="98"/>
      <c r="BA176" s="98"/>
      <c r="BB176" s="98"/>
      <c r="BC176" s="98"/>
      <c r="BD176" s="98"/>
      <c r="BE176" s="98"/>
      <c r="BF176" s="98"/>
      <c r="BG176" s="98"/>
      <c r="BH176" s="98"/>
      <c r="BI176" s="98"/>
      <c r="BJ176" s="98"/>
      <c r="BK176" s="98"/>
      <c r="BL176" s="98"/>
      <c r="BM176" s="98"/>
      <c r="BN176" s="98"/>
      <c r="BO176" s="98"/>
      <c r="BP176" s="98"/>
      <c r="BQ176" s="98"/>
      <c r="BR176" s="98"/>
      <c r="BS176" s="98"/>
      <c r="BT176" s="98"/>
      <c r="BU176" s="98"/>
      <c r="BV176" s="98"/>
      <c r="BW176" s="98"/>
      <c r="BX176" s="98"/>
      <c r="BY176" s="98"/>
      <c r="BZ176" s="98"/>
      <c r="CA176" s="98"/>
    </row>
    <row r="177" ht="15.75" customHeight="1">
      <c r="A177" s="98"/>
      <c r="B177" s="98"/>
      <c r="C177" s="98"/>
      <c r="D177" s="98"/>
      <c r="E177" s="98"/>
      <c r="F177" s="98"/>
      <c r="G177" s="98"/>
      <c r="H177" s="98"/>
      <c r="I177" s="99"/>
      <c r="J177" s="99"/>
      <c r="K177" s="99"/>
      <c r="L177" s="99"/>
      <c r="M177" s="99"/>
      <c r="N177" s="99"/>
      <c r="O177" s="99"/>
      <c r="P177" s="99"/>
      <c r="Q177" s="99"/>
      <c r="R177" s="99"/>
      <c r="S177" s="98"/>
      <c r="T177" s="98"/>
      <c r="U177" s="98"/>
      <c r="V177" s="98"/>
      <c r="W177" s="98"/>
      <c r="X177" s="98"/>
      <c r="Y177" s="98"/>
      <c r="Z177" s="98"/>
      <c r="AA177" s="98"/>
      <c r="AB177" s="98"/>
      <c r="AC177" s="98"/>
      <c r="AD177" s="98"/>
      <c r="AE177" s="98"/>
      <c r="AF177" s="98"/>
      <c r="AG177" s="98"/>
      <c r="AH177" s="98"/>
      <c r="AI177" s="98"/>
      <c r="AJ177" s="98"/>
      <c r="AK177" s="98"/>
      <c r="AL177" s="98"/>
      <c r="AM177" s="98"/>
      <c r="AN177" s="98"/>
      <c r="AO177" s="98"/>
      <c r="AP177" s="98"/>
      <c r="AQ177" s="98"/>
      <c r="AR177" s="98"/>
      <c r="AS177" s="98"/>
      <c r="AT177" s="98"/>
      <c r="AU177" s="98"/>
      <c r="AV177" s="98"/>
      <c r="AW177" s="98"/>
      <c r="AX177" s="98"/>
      <c r="AY177" s="98"/>
      <c r="AZ177" s="98"/>
      <c r="BA177" s="98"/>
      <c r="BB177" s="98"/>
      <c r="BC177" s="98"/>
      <c r="BD177" s="98"/>
      <c r="BE177" s="98"/>
      <c r="BF177" s="98"/>
      <c r="BG177" s="98"/>
      <c r="BH177" s="98"/>
      <c r="BI177" s="98"/>
      <c r="BJ177" s="98"/>
      <c r="BK177" s="98"/>
      <c r="BL177" s="98"/>
      <c r="BM177" s="98"/>
      <c r="BN177" s="98"/>
      <c r="BO177" s="98"/>
      <c r="BP177" s="98"/>
      <c r="BQ177" s="98"/>
      <c r="BR177" s="98"/>
      <c r="BS177" s="98"/>
      <c r="BT177" s="98"/>
      <c r="BU177" s="98"/>
      <c r="BV177" s="98"/>
      <c r="BW177" s="98"/>
      <c r="BX177" s="98"/>
      <c r="BY177" s="98"/>
      <c r="BZ177" s="98"/>
      <c r="CA177" s="98"/>
    </row>
    <row r="178" ht="15.75" customHeight="1">
      <c r="A178" s="98"/>
      <c r="B178" s="98"/>
      <c r="C178" s="98"/>
      <c r="D178" s="98"/>
      <c r="E178" s="98"/>
      <c r="F178" s="98"/>
      <c r="G178" s="98"/>
      <c r="H178" s="98"/>
      <c r="I178" s="99"/>
      <c r="J178" s="99"/>
      <c r="K178" s="99"/>
      <c r="L178" s="99"/>
      <c r="M178" s="99"/>
      <c r="N178" s="99"/>
      <c r="O178" s="99"/>
      <c r="P178" s="99"/>
      <c r="Q178" s="99"/>
      <c r="R178" s="99"/>
      <c r="S178" s="98"/>
      <c r="T178" s="98"/>
      <c r="U178" s="98"/>
      <c r="V178" s="98"/>
      <c r="W178" s="98"/>
      <c r="X178" s="98"/>
      <c r="Y178" s="98"/>
      <c r="Z178" s="98"/>
      <c r="AA178" s="98"/>
      <c r="AB178" s="98"/>
      <c r="AC178" s="98"/>
      <c r="AD178" s="98"/>
      <c r="AE178" s="98"/>
      <c r="AF178" s="98"/>
      <c r="AG178" s="98"/>
      <c r="AH178" s="98"/>
      <c r="AI178" s="98"/>
      <c r="AJ178" s="98"/>
      <c r="AK178" s="98"/>
      <c r="AL178" s="98"/>
      <c r="AM178" s="98"/>
      <c r="AN178" s="98"/>
      <c r="AO178" s="98"/>
      <c r="AP178" s="98"/>
      <c r="AQ178" s="98"/>
      <c r="AR178" s="98"/>
      <c r="AS178" s="98"/>
      <c r="AT178" s="98"/>
      <c r="AU178" s="98"/>
      <c r="AV178" s="98"/>
      <c r="AW178" s="98"/>
      <c r="AX178" s="98"/>
      <c r="AY178" s="98"/>
      <c r="AZ178" s="98"/>
      <c r="BA178" s="98"/>
      <c r="BB178" s="98"/>
      <c r="BC178" s="98"/>
      <c r="BD178" s="98"/>
      <c r="BE178" s="98"/>
      <c r="BF178" s="98"/>
      <c r="BG178" s="98"/>
      <c r="BH178" s="98"/>
      <c r="BI178" s="98"/>
      <c r="BJ178" s="98"/>
      <c r="BK178" s="98"/>
      <c r="BL178" s="98"/>
      <c r="BM178" s="98"/>
      <c r="BN178" s="98"/>
      <c r="BO178" s="98"/>
      <c r="BP178" s="98"/>
      <c r="BQ178" s="98"/>
      <c r="BR178" s="98"/>
      <c r="BS178" s="98"/>
      <c r="BT178" s="98"/>
      <c r="BU178" s="98"/>
      <c r="BV178" s="98"/>
      <c r="BW178" s="98"/>
      <c r="BX178" s="98"/>
      <c r="BY178" s="98"/>
      <c r="BZ178" s="98"/>
      <c r="CA178" s="98"/>
    </row>
    <row r="179" ht="15.75" customHeight="1">
      <c r="A179" s="98"/>
      <c r="B179" s="98"/>
      <c r="C179" s="98"/>
      <c r="D179" s="98"/>
      <c r="E179" s="98"/>
      <c r="F179" s="98"/>
      <c r="G179" s="98"/>
      <c r="H179" s="98"/>
      <c r="I179" s="99"/>
      <c r="J179" s="99"/>
      <c r="K179" s="99"/>
      <c r="L179" s="99"/>
      <c r="M179" s="99"/>
      <c r="N179" s="99"/>
      <c r="O179" s="99"/>
      <c r="P179" s="99"/>
      <c r="Q179" s="99"/>
      <c r="R179" s="99"/>
      <c r="S179" s="98"/>
      <c r="T179" s="98"/>
      <c r="U179" s="98"/>
      <c r="V179" s="98"/>
      <c r="W179" s="98"/>
      <c r="X179" s="98"/>
      <c r="Y179" s="98"/>
      <c r="Z179" s="98"/>
      <c r="AA179" s="98"/>
      <c r="AB179" s="98"/>
      <c r="AC179" s="98"/>
      <c r="AD179" s="98"/>
      <c r="AE179" s="98"/>
      <c r="AF179" s="98"/>
      <c r="AG179" s="98"/>
      <c r="AH179" s="98"/>
      <c r="AI179" s="98"/>
      <c r="AJ179" s="98"/>
      <c r="AK179" s="98"/>
      <c r="AL179" s="98"/>
      <c r="AM179" s="98"/>
      <c r="AN179" s="98"/>
      <c r="AO179" s="98"/>
      <c r="AP179" s="98"/>
      <c r="AQ179" s="98"/>
      <c r="AR179" s="98"/>
      <c r="AS179" s="98"/>
      <c r="AT179" s="98"/>
      <c r="AU179" s="98"/>
      <c r="AV179" s="98"/>
      <c r="AW179" s="98"/>
      <c r="AX179" s="98"/>
      <c r="AY179" s="98"/>
      <c r="AZ179" s="98"/>
      <c r="BA179" s="98"/>
      <c r="BB179" s="98"/>
      <c r="BC179" s="98"/>
      <c r="BD179" s="98"/>
      <c r="BE179" s="98"/>
      <c r="BF179" s="98"/>
      <c r="BG179" s="98"/>
      <c r="BH179" s="98"/>
      <c r="BI179" s="98"/>
      <c r="BJ179" s="98"/>
      <c r="BK179" s="98"/>
      <c r="BL179" s="98"/>
      <c r="BM179" s="98"/>
      <c r="BN179" s="98"/>
      <c r="BO179" s="98"/>
      <c r="BP179" s="98"/>
      <c r="BQ179" s="98"/>
      <c r="BR179" s="98"/>
      <c r="BS179" s="98"/>
      <c r="BT179" s="98"/>
      <c r="BU179" s="98"/>
      <c r="BV179" s="98"/>
      <c r="BW179" s="98"/>
      <c r="BX179" s="98"/>
      <c r="BY179" s="98"/>
      <c r="BZ179" s="98"/>
      <c r="CA179" s="98"/>
    </row>
    <row r="180" ht="15.75" customHeight="1">
      <c r="A180" s="98"/>
      <c r="B180" s="98"/>
      <c r="C180" s="98"/>
      <c r="D180" s="98"/>
      <c r="E180" s="98"/>
      <c r="F180" s="98"/>
      <c r="G180" s="98"/>
      <c r="H180" s="98"/>
      <c r="I180" s="99"/>
      <c r="J180" s="99"/>
      <c r="K180" s="99"/>
      <c r="L180" s="99"/>
      <c r="M180" s="99"/>
      <c r="N180" s="99"/>
      <c r="O180" s="99"/>
      <c r="P180" s="99"/>
      <c r="Q180" s="99"/>
      <c r="R180" s="99"/>
      <c r="S180" s="98"/>
      <c r="T180" s="98"/>
      <c r="U180" s="98"/>
      <c r="V180" s="98"/>
      <c r="W180" s="98"/>
      <c r="X180" s="98"/>
      <c r="Y180" s="98"/>
      <c r="Z180" s="98"/>
      <c r="AA180" s="98"/>
      <c r="AB180" s="98"/>
      <c r="AC180" s="98"/>
      <c r="AD180" s="98"/>
      <c r="AE180" s="98"/>
      <c r="AF180" s="98"/>
      <c r="AG180" s="98"/>
      <c r="AH180" s="98"/>
      <c r="AI180" s="98"/>
      <c r="AJ180" s="98"/>
      <c r="AK180" s="98"/>
      <c r="AL180" s="98"/>
      <c r="AM180" s="98"/>
      <c r="AN180" s="98"/>
      <c r="AO180" s="98"/>
      <c r="AP180" s="98"/>
      <c r="AQ180" s="98"/>
      <c r="AR180" s="98"/>
      <c r="AS180" s="98"/>
      <c r="AT180" s="98"/>
      <c r="AU180" s="98"/>
      <c r="AV180" s="98"/>
      <c r="AW180" s="98"/>
      <c r="AX180" s="98"/>
      <c r="AY180" s="98"/>
      <c r="AZ180" s="98"/>
      <c r="BA180" s="98"/>
      <c r="BB180" s="98"/>
      <c r="BC180" s="98"/>
      <c r="BD180" s="98"/>
      <c r="BE180" s="98"/>
      <c r="BF180" s="98"/>
      <c r="BG180" s="98"/>
      <c r="BH180" s="98"/>
      <c r="BI180" s="98"/>
      <c r="BJ180" s="98"/>
      <c r="BK180" s="98"/>
      <c r="BL180" s="98"/>
      <c r="BM180" s="98"/>
      <c r="BN180" s="98"/>
      <c r="BO180" s="98"/>
      <c r="BP180" s="98"/>
      <c r="BQ180" s="98"/>
      <c r="BR180" s="98"/>
      <c r="BS180" s="98"/>
      <c r="BT180" s="98"/>
      <c r="BU180" s="98"/>
      <c r="BV180" s="98"/>
      <c r="BW180" s="98"/>
      <c r="BX180" s="98"/>
      <c r="BY180" s="98"/>
      <c r="BZ180" s="98"/>
      <c r="CA180" s="98"/>
    </row>
    <row r="181" ht="15.75" customHeight="1">
      <c r="A181" s="98"/>
      <c r="B181" s="98"/>
      <c r="C181" s="98"/>
      <c r="D181" s="98"/>
      <c r="E181" s="98"/>
      <c r="F181" s="98"/>
      <c r="G181" s="98"/>
      <c r="H181" s="98"/>
      <c r="I181" s="99"/>
      <c r="J181" s="99"/>
      <c r="K181" s="99"/>
      <c r="L181" s="99"/>
      <c r="M181" s="99"/>
      <c r="N181" s="99"/>
      <c r="O181" s="99"/>
      <c r="P181" s="99"/>
      <c r="Q181" s="99"/>
      <c r="R181" s="99"/>
      <c r="S181" s="98"/>
      <c r="T181" s="98"/>
      <c r="U181" s="98"/>
      <c r="V181" s="98"/>
      <c r="W181" s="98"/>
      <c r="X181" s="98"/>
      <c r="Y181" s="98"/>
      <c r="Z181" s="98"/>
      <c r="AA181" s="98"/>
      <c r="AB181" s="98"/>
      <c r="AC181" s="98"/>
      <c r="AD181" s="98"/>
      <c r="AE181" s="98"/>
      <c r="AF181" s="98"/>
      <c r="AG181" s="98"/>
      <c r="AH181" s="98"/>
      <c r="AI181" s="98"/>
      <c r="AJ181" s="98"/>
      <c r="AK181" s="98"/>
      <c r="AL181" s="98"/>
      <c r="AM181" s="98"/>
      <c r="AN181" s="98"/>
      <c r="AO181" s="98"/>
      <c r="AP181" s="98"/>
      <c r="AQ181" s="98"/>
      <c r="AR181" s="98"/>
      <c r="AS181" s="98"/>
      <c r="AT181" s="98"/>
      <c r="AU181" s="98"/>
      <c r="AV181" s="98"/>
      <c r="AW181" s="98"/>
      <c r="AX181" s="98"/>
      <c r="AY181" s="98"/>
      <c r="AZ181" s="98"/>
      <c r="BA181" s="98"/>
      <c r="BB181" s="98"/>
      <c r="BC181" s="98"/>
      <c r="BD181" s="98"/>
      <c r="BE181" s="98"/>
      <c r="BF181" s="98"/>
      <c r="BG181" s="98"/>
      <c r="BH181" s="98"/>
      <c r="BI181" s="98"/>
      <c r="BJ181" s="98"/>
      <c r="BK181" s="98"/>
      <c r="BL181" s="98"/>
      <c r="BM181" s="98"/>
      <c r="BN181" s="98"/>
      <c r="BO181" s="98"/>
      <c r="BP181" s="98"/>
      <c r="BQ181" s="98"/>
      <c r="BR181" s="98"/>
      <c r="BS181" s="98"/>
      <c r="BT181" s="98"/>
      <c r="BU181" s="98"/>
      <c r="BV181" s="98"/>
      <c r="BW181" s="98"/>
      <c r="BX181" s="98"/>
      <c r="BY181" s="98"/>
      <c r="BZ181" s="98"/>
      <c r="CA181" s="98"/>
    </row>
    <row r="182" ht="15.75" customHeight="1">
      <c r="A182" s="98"/>
      <c r="B182" s="98"/>
      <c r="C182" s="98"/>
      <c r="D182" s="98"/>
      <c r="E182" s="98"/>
      <c r="F182" s="98"/>
      <c r="G182" s="98"/>
      <c r="H182" s="98"/>
      <c r="I182" s="99"/>
      <c r="J182" s="99"/>
      <c r="K182" s="99"/>
      <c r="L182" s="99"/>
      <c r="M182" s="99"/>
      <c r="N182" s="99"/>
      <c r="O182" s="99"/>
      <c r="P182" s="99"/>
      <c r="Q182" s="99"/>
      <c r="R182" s="99"/>
      <c r="S182" s="98"/>
      <c r="T182" s="98"/>
      <c r="U182" s="98"/>
      <c r="V182" s="98"/>
      <c r="W182" s="98"/>
      <c r="X182" s="98"/>
      <c r="Y182" s="98"/>
      <c r="Z182" s="98"/>
      <c r="AA182" s="98"/>
      <c r="AB182" s="98"/>
      <c r="AC182" s="98"/>
      <c r="AD182" s="98"/>
      <c r="AE182" s="98"/>
      <c r="AF182" s="98"/>
      <c r="AG182" s="98"/>
      <c r="AH182" s="98"/>
      <c r="AI182" s="98"/>
      <c r="AJ182" s="98"/>
      <c r="AK182" s="98"/>
      <c r="AL182" s="98"/>
      <c r="AM182" s="98"/>
      <c r="AN182" s="98"/>
      <c r="AO182" s="98"/>
      <c r="AP182" s="98"/>
      <c r="AQ182" s="98"/>
      <c r="AR182" s="98"/>
      <c r="AS182" s="98"/>
      <c r="AT182" s="98"/>
      <c r="AU182" s="98"/>
      <c r="AV182" s="98"/>
      <c r="AW182" s="98"/>
      <c r="AX182" s="98"/>
      <c r="AY182" s="98"/>
      <c r="AZ182" s="98"/>
      <c r="BA182" s="98"/>
      <c r="BB182" s="98"/>
      <c r="BC182" s="98"/>
      <c r="BD182" s="98"/>
      <c r="BE182" s="98"/>
      <c r="BF182" s="98"/>
      <c r="BG182" s="98"/>
      <c r="BH182" s="98"/>
      <c r="BI182" s="98"/>
      <c r="BJ182" s="98"/>
      <c r="BK182" s="98"/>
      <c r="BL182" s="98"/>
      <c r="BM182" s="98"/>
      <c r="BN182" s="98"/>
      <c r="BO182" s="98"/>
      <c r="BP182" s="98"/>
      <c r="BQ182" s="98"/>
      <c r="BR182" s="98"/>
      <c r="BS182" s="98"/>
      <c r="BT182" s="98"/>
      <c r="BU182" s="98"/>
      <c r="BV182" s="98"/>
      <c r="BW182" s="98"/>
      <c r="BX182" s="98"/>
      <c r="BY182" s="98"/>
      <c r="BZ182" s="98"/>
      <c r="CA182" s="98"/>
    </row>
    <row r="183" ht="15.75" customHeight="1">
      <c r="A183" s="98"/>
      <c r="B183" s="98"/>
      <c r="C183" s="98"/>
      <c r="D183" s="98"/>
      <c r="E183" s="98"/>
      <c r="F183" s="98"/>
      <c r="G183" s="98"/>
      <c r="H183" s="98"/>
      <c r="I183" s="99"/>
      <c r="J183" s="99"/>
      <c r="K183" s="99"/>
      <c r="L183" s="99"/>
      <c r="M183" s="99"/>
      <c r="N183" s="99"/>
      <c r="O183" s="99"/>
      <c r="P183" s="99"/>
      <c r="Q183" s="99"/>
      <c r="R183" s="99"/>
      <c r="S183" s="98"/>
      <c r="T183" s="98"/>
      <c r="U183" s="98"/>
      <c r="V183" s="98"/>
      <c r="W183" s="98"/>
      <c r="X183" s="98"/>
      <c r="Y183" s="98"/>
      <c r="Z183" s="98"/>
      <c r="AA183" s="98"/>
      <c r="AB183" s="98"/>
      <c r="AC183" s="98"/>
      <c r="AD183" s="98"/>
      <c r="AE183" s="98"/>
      <c r="AF183" s="98"/>
      <c r="AG183" s="98"/>
      <c r="AH183" s="98"/>
      <c r="AI183" s="98"/>
      <c r="AJ183" s="98"/>
      <c r="AK183" s="98"/>
      <c r="AL183" s="98"/>
      <c r="AM183" s="98"/>
      <c r="AN183" s="98"/>
      <c r="AO183" s="98"/>
      <c r="AP183" s="98"/>
      <c r="AQ183" s="98"/>
      <c r="AR183" s="98"/>
      <c r="AS183" s="98"/>
      <c r="AT183" s="98"/>
      <c r="AU183" s="98"/>
      <c r="AV183" s="98"/>
      <c r="AW183" s="98"/>
      <c r="AX183" s="98"/>
      <c r="AY183" s="98"/>
      <c r="AZ183" s="98"/>
      <c r="BA183" s="98"/>
      <c r="BB183" s="98"/>
      <c r="BC183" s="98"/>
      <c r="BD183" s="98"/>
      <c r="BE183" s="98"/>
      <c r="BF183" s="98"/>
      <c r="BG183" s="98"/>
      <c r="BH183" s="98"/>
      <c r="BI183" s="98"/>
      <c r="BJ183" s="98"/>
      <c r="BK183" s="98"/>
      <c r="BL183" s="98"/>
      <c r="BM183" s="98"/>
      <c r="BN183" s="98"/>
      <c r="BO183" s="98"/>
      <c r="BP183" s="98"/>
      <c r="BQ183" s="98"/>
      <c r="BR183" s="98"/>
      <c r="BS183" s="98"/>
      <c r="BT183" s="98"/>
      <c r="BU183" s="98"/>
      <c r="BV183" s="98"/>
      <c r="BW183" s="98"/>
      <c r="BX183" s="98"/>
      <c r="BY183" s="98"/>
      <c r="BZ183" s="98"/>
      <c r="CA183" s="98"/>
    </row>
    <row r="184" ht="15.75" customHeight="1">
      <c r="A184" s="98"/>
      <c r="B184" s="98"/>
      <c r="C184" s="98"/>
      <c r="D184" s="98"/>
      <c r="E184" s="98"/>
      <c r="F184" s="98"/>
      <c r="G184" s="98"/>
      <c r="H184" s="98"/>
      <c r="I184" s="99"/>
      <c r="J184" s="99"/>
      <c r="K184" s="99"/>
      <c r="L184" s="99"/>
      <c r="M184" s="99"/>
      <c r="N184" s="99"/>
      <c r="O184" s="99"/>
      <c r="P184" s="99"/>
      <c r="Q184" s="99"/>
      <c r="R184" s="99"/>
      <c r="S184" s="98"/>
      <c r="T184" s="98"/>
      <c r="U184" s="98"/>
      <c r="V184" s="98"/>
      <c r="W184" s="98"/>
      <c r="X184" s="98"/>
      <c r="Y184" s="98"/>
      <c r="Z184" s="98"/>
      <c r="AA184" s="98"/>
      <c r="AB184" s="98"/>
      <c r="AC184" s="98"/>
      <c r="AD184" s="98"/>
      <c r="AE184" s="98"/>
      <c r="AF184" s="98"/>
      <c r="AG184" s="98"/>
      <c r="AH184" s="98"/>
      <c r="AI184" s="98"/>
      <c r="AJ184" s="98"/>
      <c r="AK184" s="98"/>
      <c r="AL184" s="98"/>
      <c r="AM184" s="98"/>
      <c r="AN184" s="98"/>
      <c r="AO184" s="98"/>
      <c r="AP184" s="98"/>
      <c r="AQ184" s="98"/>
      <c r="AR184" s="98"/>
      <c r="AS184" s="98"/>
      <c r="AT184" s="98"/>
      <c r="AU184" s="98"/>
      <c r="AV184" s="98"/>
      <c r="AW184" s="98"/>
      <c r="AX184" s="98"/>
      <c r="AY184" s="98"/>
      <c r="AZ184" s="98"/>
      <c r="BA184" s="98"/>
      <c r="BB184" s="98"/>
      <c r="BC184" s="98"/>
      <c r="BD184" s="98"/>
      <c r="BE184" s="98"/>
      <c r="BF184" s="98"/>
      <c r="BG184" s="98"/>
      <c r="BH184" s="98"/>
      <c r="BI184" s="98"/>
      <c r="BJ184" s="98"/>
      <c r="BK184" s="98"/>
      <c r="BL184" s="98"/>
      <c r="BM184" s="98"/>
      <c r="BN184" s="98"/>
      <c r="BO184" s="98"/>
      <c r="BP184" s="98"/>
      <c r="BQ184" s="98"/>
      <c r="BR184" s="98"/>
      <c r="BS184" s="98"/>
      <c r="BT184" s="98"/>
      <c r="BU184" s="98"/>
      <c r="BV184" s="98"/>
      <c r="BW184" s="98"/>
      <c r="BX184" s="98"/>
      <c r="BY184" s="98"/>
      <c r="BZ184" s="98"/>
      <c r="CA184" s="98"/>
    </row>
    <row r="185" ht="15.75" customHeight="1">
      <c r="A185" s="98"/>
      <c r="B185" s="98"/>
      <c r="C185" s="98"/>
      <c r="D185" s="98"/>
      <c r="E185" s="98"/>
      <c r="F185" s="98"/>
      <c r="G185" s="98"/>
      <c r="H185" s="98"/>
      <c r="I185" s="99"/>
      <c r="J185" s="99"/>
      <c r="K185" s="99"/>
      <c r="L185" s="99"/>
      <c r="M185" s="99"/>
      <c r="N185" s="99"/>
      <c r="O185" s="99"/>
      <c r="P185" s="99"/>
      <c r="Q185" s="99"/>
      <c r="R185" s="99"/>
      <c r="S185" s="98"/>
      <c r="T185" s="98"/>
      <c r="U185" s="98"/>
      <c r="V185" s="98"/>
      <c r="W185" s="98"/>
      <c r="X185" s="98"/>
      <c r="Y185" s="98"/>
      <c r="Z185" s="98"/>
      <c r="AA185" s="98"/>
      <c r="AB185" s="98"/>
      <c r="AC185" s="98"/>
      <c r="AD185" s="98"/>
      <c r="AE185" s="98"/>
      <c r="AF185" s="98"/>
      <c r="AG185" s="98"/>
      <c r="AH185" s="98"/>
      <c r="AI185" s="98"/>
      <c r="AJ185" s="98"/>
      <c r="AK185" s="98"/>
      <c r="AL185" s="98"/>
      <c r="AM185" s="98"/>
      <c r="AN185" s="98"/>
      <c r="AO185" s="98"/>
      <c r="AP185" s="98"/>
      <c r="AQ185" s="98"/>
      <c r="AR185" s="98"/>
      <c r="AS185" s="98"/>
      <c r="AT185" s="98"/>
      <c r="AU185" s="98"/>
      <c r="AV185" s="98"/>
      <c r="AW185" s="98"/>
      <c r="AX185" s="98"/>
      <c r="AY185" s="98"/>
      <c r="AZ185" s="98"/>
      <c r="BA185" s="98"/>
      <c r="BB185" s="98"/>
      <c r="BC185" s="98"/>
      <c r="BD185" s="98"/>
      <c r="BE185" s="98"/>
      <c r="BF185" s="98"/>
      <c r="BG185" s="98"/>
      <c r="BH185" s="98"/>
      <c r="BI185" s="98"/>
      <c r="BJ185" s="98"/>
      <c r="BK185" s="98"/>
      <c r="BL185" s="98"/>
      <c r="BM185" s="98"/>
      <c r="BN185" s="98"/>
      <c r="BO185" s="98"/>
      <c r="BP185" s="98"/>
      <c r="BQ185" s="98"/>
      <c r="BR185" s="98"/>
      <c r="BS185" s="98"/>
      <c r="BT185" s="98"/>
      <c r="BU185" s="98"/>
      <c r="BV185" s="98"/>
      <c r="BW185" s="98"/>
      <c r="BX185" s="98"/>
      <c r="BY185" s="98"/>
      <c r="BZ185" s="98"/>
      <c r="CA185" s="98"/>
    </row>
    <row r="186" ht="15.75" customHeight="1">
      <c r="A186" s="98"/>
      <c r="B186" s="98"/>
      <c r="C186" s="98"/>
      <c r="D186" s="98"/>
      <c r="E186" s="98"/>
      <c r="F186" s="98"/>
      <c r="G186" s="98"/>
      <c r="H186" s="98"/>
      <c r="I186" s="99"/>
      <c r="J186" s="99"/>
      <c r="K186" s="99"/>
      <c r="L186" s="99"/>
      <c r="M186" s="99"/>
      <c r="N186" s="99"/>
      <c r="O186" s="99"/>
      <c r="P186" s="99"/>
      <c r="Q186" s="99"/>
      <c r="R186" s="99"/>
      <c r="S186" s="98"/>
      <c r="T186" s="98"/>
      <c r="U186" s="98"/>
      <c r="V186" s="98"/>
      <c r="W186" s="98"/>
      <c r="X186" s="98"/>
      <c r="Y186" s="98"/>
      <c r="Z186" s="98"/>
      <c r="AA186" s="98"/>
      <c r="AB186" s="98"/>
      <c r="AC186" s="98"/>
      <c r="AD186" s="98"/>
      <c r="AE186" s="98"/>
      <c r="AF186" s="98"/>
      <c r="AG186" s="98"/>
      <c r="AH186" s="98"/>
      <c r="AI186" s="98"/>
      <c r="AJ186" s="98"/>
      <c r="AK186" s="98"/>
      <c r="AL186" s="98"/>
      <c r="AM186" s="98"/>
      <c r="AN186" s="98"/>
      <c r="AO186" s="98"/>
      <c r="AP186" s="98"/>
      <c r="AQ186" s="98"/>
      <c r="AR186" s="98"/>
      <c r="AS186" s="98"/>
      <c r="AT186" s="98"/>
      <c r="AU186" s="98"/>
      <c r="AV186" s="98"/>
      <c r="AW186" s="98"/>
      <c r="AX186" s="98"/>
      <c r="AY186" s="98"/>
      <c r="AZ186" s="98"/>
      <c r="BA186" s="98"/>
      <c r="BB186" s="98"/>
      <c r="BC186" s="98"/>
      <c r="BD186" s="98"/>
      <c r="BE186" s="98"/>
      <c r="BF186" s="98"/>
      <c r="BG186" s="98"/>
      <c r="BH186" s="98"/>
      <c r="BI186" s="98"/>
      <c r="BJ186" s="98"/>
      <c r="BK186" s="98"/>
      <c r="BL186" s="98"/>
      <c r="BM186" s="98"/>
      <c r="BN186" s="98"/>
      <c r="BO186" s="98"/>
      <c r="BP186" s="98"/>
      <c r="BQ186" s="98"/>
      <c r="BR186" s="98"/>
      <c r="BS186" s="98"/>
      <c r="BT186" s="98"/>
      <c r="BU186" s="98"/>
      <c r="BV186" s="98"/>
      <c r="BW186" s="98"/>
      <c r="BX186" s="98"/>
      <c r="BY186" s="98"/>
      <c r="BZ186" s="98"/>
      <c r="CA186" s="98"/>
    </row>
    <row r="187" ht="15.75" customHeight="1">
      <c r="A187" s="98"/>
      <c r="B187" s="98"/>
      <c r="C187" s="98"/>
      <c r="D187" s="98"/>
      <c r="E187" s="98"/>
      <c r="F187" s="98"/>
      <c r="G187" s="98"/>
      <c r="H187" s="98"/>
      <c r="I187" s="99"/>
      <c r="J187" s="99"/>
      <c r="K187" s="99"/>
      <c r="L187" s="99"/>
      <c r="M187" s="99"/>
      <c r="N187" s="99"/>
      <c r="O187" s="99"/>
      <c r="P187" s="99"/>
      <c r="Q187" s="99"/>
      <c r="R187" s="99"/>
      <c r="S187" s="98"/>
      <c r="T187" s="98"/>
      <c r="U187" s="98"/>
      <c r="V187" s="98"/>
      <c r="W187" s="98"/>
      <c r="X187" s="98"/>
      <c r="Y187" s="98"/>
      <c r="Z187" s="98"/>
      <c r="AA187" s="98"/>
      <c r="AB187" s="98"/>
      <c r="AC187" s="98"/>
      <c r="AD187" s="98"/>
      <c r="AE187" s="98"/>
      <c r="AF187" s="98"/>
      <c r="AG187" s="98"/>
      <c r="AH187" s="98"/>
      <c r="AI187" s="98"/>
      <c r="AJ187" s="98"/>
      <c r="AK187" s="98"/>
      <c r="AL187" s="98"/>
      <c r="AM187" s="98"/>
      <c r="AN187" s="98"/>
      <c r="AO187" s="98"/>
      <c r="AP187" s="98"/>
      <c r="AQ187" s="98"/>
      <c r="AR187" s="98"/>
      <c r="AS187" s="98"/>
      <c r="AT187" s="98"/>
      <c r="AU187" s="98"/>
      <c r="AV187" s="98"/>
      <c r="AW187" s="98"/>
      <c r="AX187" s="98"/>
      <c r="AY187" s="98"/>
      <c r="AZ187" s="98"/>
      <c r="BA187" s="98"/>
      <c r="BB187" s="98"/>
      <c r="BC187" s="98"/>
      <c r="BD187" s="98"/>
      <c r="BE187" s="98"/>
      <c r="BF187" s="98"/>
      <c r="BG187" s="98"/>
      <c r="BH187" s="98"/>
      <c r="BI187" s="98"/>
      <c r="BJ187" s="98"/>
      <c r="BK187" s="98"/>
      <c r="BL187" s="98"/>
      <c r="BM187" s="98"/>
      <c r="BN187" s="98"/>
      <c r="BO187" s="98"/>
      <c r="BP187" s="98"/>
      <c r="BQ187" s="98"/>
      <c r="BR187" s="98"/>
      <c r="BS187" s="98"/>
      <c r="BT187" s="98"/>
      <c r="BU187" s="98"/>
      <c r="BV187" s="98"/>
      <c r="BW187" s="98"/>
      <c r="BX187" s="98"/>
      <c r="BY187" s="98"/>
      <c r="BZ187" s="98"/>
      <c r="CA187" s="98"/>
    </row>
    <row r="188" ht="15.75" customHeight="1">
      <c r="A188" s="98"/>
      <c r="B188" s="98"/>
      <c r="C188" s="98"/>
      <c r="D188" s="98"/>
      <c r="E188" s="98"/>
      <c r="F188" s="98"/>
      <c r="G188" s="98"/>
      <c r="H188" s="98"/>
      <c r="I188" s="99"/>
      <c r="J188" s="99"/>
      <c r="K188" s="99"/>
      <c r="L188" s="99"/>
      <c r="M188" s="99"/>
      <c r="N188" s="99"/>
      <c r="O188" s="99"/>
      <c r="P188" s="99"/>
      <c r="Q188" s="99"/>
      <c r="R188" s="99"/>
      <c r="S188" s="98"/>
      <c r="T188" s="98"/>
      <c r="U188" s="98"/>
      <c r="V188" s="98"/>
      <c r="W188" s="98"/>
      <c r="X188" s="98"/>
      <c r="Y188" s="98"/>
      <c r="Z188" s="98"/>
      <c r="AA188" s="98"/>
      <c r="AB188" s="98"/>
      <c r="AC188" s="98"/>
      <c r="AD188" s="98"/>
      <c r="AE188" s="98"/>
      <c r="AF188" s="98"/>
      <c r="AG188" s="98"/>
      <c r="AH188" s="98"/>
      <c r="AI188" s="98"/>
      <c r="AJ188" s="98"/>
      <c r="AK188" s="98"/>
      <c r="AL188" s="98"/>
      <c r="AM188" s="98"/>
      <c r="AN188" s="98"/>
      <c r="AO188" s="98"/>
      <c r="AP188" s="98"/>
      <c r="AQ188" s="98"/>
      <c r="AR188" s="98"/>
      <c r="AS188" s="98"/>
      <c r="AT188" s="98"/>
      <c r="AU188" s="98"/>
      <c r="AV188" s="98"/>
      <c r="AW188" s="98"/>
      <c r="AX188" s="98"/>
      <c r="AY188" s="98"/>
      <c r="AZ188" s="98"/>
      <c r="BA188" s="98"/>
      <c r="BB188" s="98"/>
      <c r="BC188" s="98"/>
      <c r="BD188" s="98"/>
      <c r="BE188" s="98"/>
      <c r="BF188" s="98"/>
      <c r="BG188" s="98"/>
      <c r="BH188" s="98"/>
      <c r="BI188" s="98"/>
      <c r="BJ188" s="98"/>
      <c r="BK188" s="98"/>
      <c r="BL188" s="98"/>
      <c r="BM188" s="98"/>
      <c r="BN188" s="98"/>
      <c r="BO188" s="98"/>
      <c r="BP188" s="98"/>
      <c r="BQ188" s="98"/>
      <c r="BR188" s="98"/>
      <c r="BS188" s="98"/>
      <c r="BT188" s="98"/>
      <c r="BU188" s="98"/>
      <c r="BV188" s="98"/>
      <c r="BW188" s="98"/>
      <c r="BX188" s="98"/>
      <c r="BY188" s="98"/>
      <c r="BZ188" s="98"/>
      <c r="CA188" s="98"/>
    </row>
    <row r="189" ht="15.75" customHeight="1">
      <c r="A189" s="98"/>
      <c r="B189" s="98"/>
      <c r="C189" s="98"/>
      <c r="D189" s="98"/>
      <c r="E189" s="98"/>
      <c r="F189" s="98"/>
      <c r="G189" s="98"/>
      <c r="H189" s="98"/>
      <c r="I189" s="99"/>
      <c r="J189" s="99"/>
      <c r="K189" s="99"/>
      <c r="L189" s="99"/>
      <c r="M189" s="99"/>
      <c r="N189" s="99"/>
      <c r="O189" s="99"/>
      <c r="P189" s="99"/>
      <c r="Q189" s="99"/>
      <c r="R189" s="99"/>
      <c r="S189" s="98"/>
      <c r="T189" s="98"/>
      <c r="U189" s="98"/>
      <c r="V189" s="98"/>
      <c r="W189" s="98"/>
      <c r="X189" s="98"/>
      <c r="Y189" s="98"/>
      <c r="Z189" s="98"/>
      <c r="AA189" s="98"/>
      <c r="AB189" s="98"/>
      <c r="AC189" s="98"/>
      <c r="AD189" s="98"/>
      <c r="AE189" s="98"/>
      <c r="AF189" s="98"/>
      <c r="AG189" s="98"/>
      <c r="AH189" s="98"/>
      <c r="AI189" s="98"/>
      <c r="AJ189" s="98"/>
      <c r="AK189" s="98"/>
      <c r="AL189" s="98"/>
      <c r="AM189" s="98"/>
      <c r="AN189" s="98"/>
      <c r="AO189" s="98"/>
      <c r="AP189" s="98"/>
      <c r="AQ189" s="98"/>
      <c r="AR189" s="98"/>
      <c r="AS189" s="98"/>
      <c r="AT189" s="98"/>
      <c r="AU189" s="98"/>
      <c r="AV189" s="98"/>
      <c r="AW189" s="98"/>
      <c r="AX189" s="98"/>
      <c r="AY189" s="98"/>
      <c r="AZ189" s="98"/>
      <c r="BA189" s="98"/>
      <c r="BB189" s="98"/>
      <c r="BC189" s="98"/>
      <c r="BD189" s="98"/>
      <c r="BE189" s="98"/>
      <c r="BF189" s="98"/>
      <c r="BG189" s="98"/>
      <c r="BH189" s="98"/>
      <c r="BI189" s="98"/>
      <c r="BJ189" s="98"/>
      <c r="BK189" s="98"/>
      <c r="BL189" s="98"/>
      <c r="BM189" s="98"/>
      <c r="BN189" s="98"/>
      <c r="BO189" s="98"/>
      <c r="BP189" s="98"/>
      <c r="BQ189" s="98"/>
      <c r="BR189" s="98"/>
      <c r="BS189" s="98"/>
      <c r="BT189" s="98"/>
      <c r="BU189" s="98"/>
      <c r="BV189" s="98"/>
      <c r="BW189" s="98"/>
      <c r="BX189" s="98"/>
      <c r="BY189" s="98"/>
      <c r="BZ189" s="98"/>
      <c r="CA189" s="98"/>
    </row>
    <row r="190" ht="15.75" customHeight="1">
      <c r="A190" s="98"/>
      <c r="B190" s="98"/>
      <c r="C190" s="98"/>
      <c r="D190" s="98"/>
      <c r="E190" s="98"/>
      <c r="F190" s="98"/>
      <c r="G190" s="98"/>
      <c r="H190" s="98"/>
      <c r="I190" s="99"/>
      <c r="J190" s="99"/>
      <c r="K190" s="99"/>
      <c r="L190" s="99"/>
      <c r="M190" s="99"/>
      <c r="N190" s="99"/>
      <c r="O190" s="99"/>
      <c r="P190" s="99"/>
      <c r="Q190" s="99"/>
      <c r="R190" s="99"/>
      <c r="S190" s="98"/>
      <c r="T190" s="98"/>
      <c r="U190" s="98"/>
      <c r="V190" s="98"/>
      <c r="W190" s="98"/>
      <c r="X190" s="98"/>
      <c r="Y190" s="98"/>
      <c r="Z190" s="98"/>
      <c r="AA190" s="98"/>
      <c r="AB190" s="98"/>
      <c r="AC190" s="98"/>
      <c r="AD190" s="98"/>
      <c r="AE190" s="98"/>
      <c r="AF190" s="98"/>
      <c r="AG190" s="98"/>
      <c r="AH190" s="98"/>
      <c r="AI190" s="98"/>
      <c r="AJ190" s="98"/>
      <c r="AK190" s="98"/>
      <c r="AL190" s="98"/>
      <c r="AM190" s="98"/>
      <c r="AN190" s="98"/>
      <c r="AO190" s="98"/>
      <c r="AP190" s="98"/>
      <c r="AQ190" s="98"/>
      <c r="AR190" s="98"/>
      <c r="AS190" s="98"/>
      <c r="AT190" s="98"/>
      <c r="AU190" s="98"/>
      <c r="AV190" s="98"/>
      <c r="AW190" s="98"/>
      <c r="AX190" s="98"/>
      <c r="AY190" s="98"/>
      <c r="AZ190" s="98"/>
      <c r="BA190" s="98"/>
      <c r="BB190" s="98"/>
      <c r="BC190" s="98"/>
      <c r="BD190" s="98"/>
      <c r="BE190" s="98"/>
      <c r="BF190" s="98"/>
      <c r="BG190" s="98"/>
      <c r="BH190" s="98"/>
      <c r="BI190" s="98"/>
      <c r="BJ190" s="98"/>
      <c r="BK190" s="98"/>
      <c r="BL190" s="98"/>
      <c r="BM190" s="98"/>
      <c r="BN190" s="98"/>
      <c r="BO190" s="98"/>
      <c r="BP190" s="98"/>
      <c r="BQ190" s="98"/>
      <c r="BR190" s="98"/>
      <c r="BS190" s="98"/>
      <c r="BT190" s="98"/>
      <c r="BU190" s="98"/>
      <c r="BV190" s="98"/>
      <c r="BW190" s="98"/>
      <c r="BX190" s="98"/>
      <c r="BY190" s="98"/>
      <c r="BZ190" s="98"/>
      <c r="CA190" s="98"/>
    </row>
    <row r="191" ht="15.75" customHeight="1">
      <c r="A191" s="98"/>
      <c r="B191" s="98"/>
      <c r="C191" s="98"/>
      <c r="D191" s="98"/>
      <c r="E191" s="98"/>
      <c r="F191" s="98"/>
      <c r="G191" s="98"/>
      <c r="H191" s="98"/>
      <c r="I191" s="99"/>
      <c r="J191" s="99"/>
      <c r="K191" s="99"/>
      <c r="L191" s="99"/>
      <c r="M191" s="99"/>
      <c r="N191" s="99"/>
      <c r="O191" s="99"/>
      <c r="P191" s="99"/>
      <c r="Q191" s="99"/>
      <c r="R191" s="99"/>
      <c r="S191" s="98"/>
      <c r="T191" s="98"/>
      <c r="U191" s="98"/>
      <c r="V191" s="98"/>
      <c r="W191" s="98"/>
      <c r="X191" s="98"/>
      <c r="Y191" s="98"/>
      <c r="Z191" s="98"/>
      <c r="AA191" s="98"/>
      <c r="AB191" s="98"/>
      <c r="AC191" s="98"/>
      <c r="AD191" s="98"/>
      <c r="AE191" s="98"/>
      <c r="AF191" s="98"/>
      <c r="AG191" s="98"/>
      <c r="AH191" s="98"/>
      <c r="AI191" s="98"/>
      <c r="AJ191" s="98"/>
      <c r="AK191" s="98"/>
      <c r="AL191" s="98"/>
      <c r="AM191" s="98"/>
      <c r="AN191" s="98"/>
      <c r="AO191" s="98"/>
      <c r="AP191" s="98"/>
      <c r="AQ191" s="98"/>
      <c r="AR191" s="98"/>
      <c r="AS191" s="98"/>
      <c r="AT191" s="98"/>
      <c r="AU191" s="98"/>
      <c r="AV191" s="98"/>
      <c r="AW191" s="98"/>
      <c r="AX191" s="98"/>
      <c r="AY191" s="98"/>
      <c r="AZ191" s="98"/>
      <c r="BA191" s="98"/>
      <c r="BB191" s="98"/>
      <c r="BC191" s="98"/>
      <c r="BD191" s="98"/>
      <c r="BE191" s="98"/>
      <c r="BF191" s="98"/>
      <c r="BG191" s="98"/>
      <c r="BH191" s="98"/>
      <c r="BI191" s="98"/>
      <c r="BJ191" s="98"/>
      <c r="BK191" s="98"/>
      <c r="BL191" s="98"/>
      <c r="BM191" s="98"/>
      <c r="BN191" s="98"/>
      <c r="BO191" s="98"/>
      <c r="BP191" s="98"/>
      <c r="BQ191" s="98"/>
      <c r="BR191" s="98"/>
      <c r="BS191" s="98"/>
      <c r="BT191" s="98"/>
      <c r="BU191" s="98"/>
      <c r="BV191" s="98"/>
      <c r="BW191" s="98"/>
      <c r="BX191" s="98"/>
      <c r="BY191" s="98"/>
      <c r="BZ191" s="98"/>
      <c r="CA191" s="98"/>
    </row>
    <row r="192" ht="15.75" customHeight="1">
      <c r="A192" s="98"/>
      <c r="B192" s="98"/>
      <c r="C192" s="98"/>
      <c r="D192" s="98"/>
      <c r="E192" s="98"/>
      <c r="F192" s="98"/>
      <c r="G192" s="98"/>
      <c r="H192" s="98"/>
      <c r="I192" s="99"/>
      <c r="J192" s="99"/>
      <c r="K192" s="99"/>
      <c r="L192" s="99"/>
      <c r="M192" s="99"/>
      <c r="N192" s="99"/>
      <c r="O192" s="99"/>
      <c r="P192" s="99"/>
      <c r="Q192" s="99"/>
      <c r="R192" s="99"/>
      <c r="S192" s="98"/>
      <c r="T192" s="98"/>
      <c r="U192" s="98"/>
      <c r="V192" s="98"/>
      <c r="W192" s="98"/>
      <c r="X192" s="98"/>
      <c r="Y192" s="98"/>
      <c r="Z192" s="98"/>
      <c r="AA192" s="98"/>
      <c r="AB192" s="98"/>
      <c r="AC192" s="98"/>
      <c r="AD192" s="98"/>
      <c r="AE192" s="98"/>
      <c r="AF192" s="98"/>
      <c r="AG192" s="98"/>
      <c r="AH192" s="98"/>
      <c r="AI192" s="98"/>
      <c r="AJ192" s="98"/>
      <c r="AK192" s="98"/>
      <c r="AL192" s="98"/>
      <c r="AM192" s="98"/>
      <c r="AN192" s="98"/>
      <c r="AO192" s="98"/>
      <c r="AP192" s="98"/>
      <c r="AQ192" s="98"/>
      <c r="AR192" s="98"/>
      <c r="AS192" s="98"/>
      <c r="AT192" s="98"/>
      <c r="AU192" s="98"/>
      <c r="AV192" s="98"/>
      <c r="AW192" s="98"/>
      <c r="AX192" s="98"/>
      <c r="AY192" s="98"/>
      <c r="AZ192" s="98"/>
      <c r="BA192" s="98"/>
      <c r="BB192" s="98"/>
      <c r="BC192" s="98"/>
      <c r="BD192" s="98"/>
      <c r="BE192" s="98"/>
      <c r="BF192" s="98"/>
      <c r="BG192" s="98"/>
      <c r="BH192" s="98"/>
      <c r="BI192" s="98"/>
      <c r="BJ192" s="98"/>
      <c r="BK192" s="98"/>
      <c r="BL192" s="98"/>
      <c r="BM192" s="98"/>
      <c r="BN192" s="98"/>
      <c r="BO192" s="98"/>
      <c r="BP192" s="98"/>
      <c r="BQ192" s="98"/>
      <c r="BR192" s="98"/>
      <c r="BS192" s="98"/>
      <c r="BT192" s="98"/>
      <c r="BU192" s="98"/>
      <c r="BV192" s="98"/>
      <c r="BW192" s="98"/>
      <c r="BX192" s="98"/>
      <c r="BY192" s="98"/>
      <c r="BZ192" s="98"/>
      <c r="CA192" s="98"/>
    </row>
    <row r="193" ht="15.75" customHeight="1">
      <c r="A193" s="98"/>
      <c r="B193" s="98"/>
      <c r="C193" s="98"/>
      <c r="D193" s="98"/>
      <c r="E193" s="98"/>
      <c r="F193" s="98"/>
      <c r="G193" s="98"/>
      <c r="H193" s="98"/>
      <c r="I193" s="99"/>
      <c r="J193" s="99"/>
      <c r="K193" s="99"/>
      <c r="L193" s="99"/>
      <c r="M193" s="99"/>
      <c r="N193" s="99"/>
      <c r="O193" s="99"/>
      <c r="P193" s="99"/>
      <c r="Q193" s="99"/>
      <c r="R193" s="99"/>
      <c r="S193" s="98"/>
      <c r="T193" s="98"/>
      <c r="U193" s="98"/>
      <c r="V193" s="98"/>
      <c r="W193" s="98"/>
      <c r="X193" s="98"/>
      <c r="Y193" s="98"/>
      <c r="Z193" s="98"/>
      <c r="AA193" s="98"/>
      <c r="AB193" s="98"/>
      <c r="AC193" s="98"/>
      <c r="AD193" s="98"/>
      <c r="AE193" s="98"/>
      <c r="AF193" s="98"/>
      <c r="AG193" s="98"/>
      <c r="AH193" s="98"/>
      <c r="AI193" s="98"/>
      <c r="AJ193" s="98"/>
      <c r="AK193" s="98"/>
      <c r="AL193" s="98"/>
      <c r="AM193" s="98"/>
      <c r="AN193" s="98"/>
      <c r="AO193" s="98"/>
      <c r="AP193" s="98"/>
      <c r="AQ193" s="98"/>
      <c r="AR193" s="98"/>
      <c r="AS193" s="98"/>
      <c r="AT193" s="98"/>
      <c r="AU193" s="98"/>
      <c r="AV193" s="98"/>
      <c r="AW193" s="98"/>
      <c r="AX193" s="98"/>
      <c r="AY193" s="98"/>
      <c r="AZ193" s="98"/>
      <c r="BA193" s="98"/>
      <c r="BB193" s="98"/>
      <c r="BC193" s="98"/>
      <c r="BD193" s="98"/>
      <c r="BE193" s="98"/>
      <c r="BF193" s="98"/>
      <c r="BG193" s="98"/>
      <c r="BH193" s="98"/>
      <c r="BI193" s="98"/>
      <c r="BJ193" s="98"/>
      <c r="BK193" s="98"/>
      <c r="BL193" s="98"/>
      <c r="BM193" s="98"/>
      <c r="BN193" s="98"/>
      <c r="BO193" s="98"/>
      <c r="BP193" s="98"/>
      <c r="BQ193" s="98"/>
      <c r="BR193" s="98"/>
      <c r="BS193" s="98"/>
      <c r="BT193" s="98"/>
      <c r="BU193" s="98"/>
      <c r="BV193" s="98"/>
      <c r="BW193" s="98"/>
      <c r="BX193" s="98"/>
      <c r="BY193" s="98"/>
      <c r="BZ193" s="98"/>
      <c r="CA193" s="98"/>
    </row>
    <row r="194" ht="15.75" customHeight="1">
      <c r="A194" s="98"/>
      <c r="B194" s="98"/>
      <c r="C194" s="98"/>
      <c r="D194" s="98"/>
      <c r="E194" s="98"/>
      <c r="F194" s="98"/>
      <c r="G194" s="98"/>
      <c r="H194" s="98"/>
      <c r="I194" s="99"/>
      <c r="J194" s="99"/>
      <c r="K194" s="99"/>
      <c r="L194" s="99"/>
      <c r="M194" s="99"/>
      <c r="N194" s="99"/>
      <c r="O194" s="99"/>
      <c r="P194" s="99"/>
      <c r="Q194" s="99"/>
      <c r="R194" s="99"/>
      <c r="S194" s="98"/>
      <c r="T194" s="98"/>
      <c r="U194" s="98"/>
      <c r="V194" s="98"/>
      <c r="W194" s="98"/>
      <c r="X194" s="98"/>
      <c r="Y194" s="98"/>
      <c r="Z194" s="98"/>
      <c r="AA194" s="98"/>
      <c r="AB194" s="98"/>
      <c r="AC194" s="98"/>
      <c r="AD194" s="98"/>
      <c r="AE194" s="98"/>
      <c r="AF194" s="98"/>
      <c r="AG194" s="98"/>
      <c r="AH194" s="98"/>
      <c r="AI194" s="98"/>
      <c r="AJ194" s="98"/>
      <c r="AK194" s="98"/>
      <c r="AL194" s="98"/>
      <c r="AM194" s="98"/>
      <c r="AN194" s="98"/>
      <c r="AO194" s="98"/>
      <c r="AP194" s="98"/>
      <c r="AQ194" s="98"/>
      <c r="AR194" s="98"/>
      <c r="AS194" s="98"/>
      <c r="AT194" s="98"/>
      <c r="AU194" s="98"/>
      <c r="AV194" s="98"/>
      <c r="AW194" s="98"/>
      <c r="AX194" s="98"/>
      <c r="AY194" s="98"/>
      <c r="AZ194" s="98"/>
      <c r="BA194" s="98"/>
      <c r="BB194" s="98"/>
      <c r="BC194" s="98"/>
      <c r="BD194" s="98"/>
      <c r="BE194" s="98"/>
      <c r="BF194" s="98"/>
      <c r="BG194" s="98"/>
      <c r="BH194" s="98"/>
      <c r="BI194" s="98"/>
      <c r="BJ194" s="98"/>
      <c r="BK194" s="98"/>
      <c r="BL194" s="98"/>
      <c r="BM194" s="98"/>
      <c r="BN194" s="98"/>
      <c r="BO194" s="98"/>
      <c r="BP194" s="98"/>
      <c r="BQ194" s="98"/>
      <c r="BR194" s="98"/>
      <c r="BS194" s="98"/>
      <c r="BT194" s="98"/>
      <c r="BU194" s="98"/>
      <c r="BV194" s="98"/>
      <c r="BW194" s="98"/>
      <c r="BX194" s="98"/>
      <c r="BY194" s="98"/>
      <c r="BZ194" s="98"/>
      <c r="CA194" s="98"/>
    </row>
    <row r="195" ht="15.75" customHeight="1">
      <c r="A195" s="98"/>
      <c r="B195" s="98"/>
      <c r="C195" s="98"/>
      <c r="D195" s="98"/>
      <c r="E195" s="98"/>
      <c r="F195" s="98"/>
      <c r="G195" s="98"/>
      <c r="H195" s="98"/>
      <c r="I195" s="99"/>
      <c r="J195" s="99"/>
      <c r="K195" s="99"/>
      <c r="L195" s="99"/>
      <c r="M195" s="99"/>
      <c r="N195" s="99"/>
      <c r="O195" s="99"/>
      <c r="P195" s="99"/>
      <c r="Q195" s="99"/>
      <c r="R195" s="99"/>
      <c r="S195" s="98"/>
      <c r="T195" s="98"/>
      <c r="U195" s="98"/>
      <c r="V195" s="98"/>
      <c r="W195" s="98"/>
      <c r="X195" s="98"/>
      <c r="Y195" s="98"/>
      <c r="Z195" s="98"/>
      <c r="AA195" s="98"/>
      <c r="AB195" s="98"/>
      <c r="AC195" s="98"/>
      <c r="AD195" s="98"/>
      <c r="AE195" s="98"/>
      <c r="AF195" s="98"/>
      <c r="AG195" s="98"/>
      <c r="AH195" s="98"/>
      <c r="AI195" s="98"/>
      <c r="AJ195" s="98"/>
      <c r="AK195" s="98"/>
      <c r="AL195" s="98"/>
      <c r="AM195" s="98"/>
      <c r="AN195" s="98"/>
      <c r="AO195" s="98"/>
      <c r="AP195" s="98"/>
      <c r="AQ195" s="98"/>
      <c r="AR195" s="98"/>
      <c r="AS195" s="98"/>
      <c r="AT195" s="98"/>
      <c r="AU195" s="98"/>
      <c r="AV195" s="98"/>
      <c r="AW195" s="98"/>
      <c r="AX195" s="98"/>
      <c r="AY195" s="98"/>
      <c r="AZ195" s="98"/>
      <c r="BA195" s="98"/>
      <c r="BB195" s="98"/>
      <c r="BC195" s="98"/>
      <c r="BD195" s="98"/>
      <c r="BE195" s="98"/>
      <c r="BF195" s="98"/>
      <c r="BG195" s="98"/>
      <c r="BH195" s="98"/>
      <c r="BI195" s="98"/>
      <c r="BJ195" s="98"/>
      <c r="BK195" s="98"/>
      <c r="BL195" s="98"/>
      <c r="BM195" s="98"/>
      <c r="BN195" s="98"/>
      <c r="BO195" s="98"/>
      <c r="BP195" s="98"/>
      <c r="BQ195" s="98"/>
      <c r="BR195" s="98"/>
      <c r="BS195" s="98"/>
      <c r="BT195" s="98"/>
      <c r="BU195" s="98"/>
      <c r="BV195" s="98"/>
      <c r="BW195" s="98"/>
      <c r="BX195" s="98"/>
      <c r="BY195" s="98"/>
      <c r="BZ195" s="98"/>
      <c r="CA195" s="98"/>
    </row>
    <row r="196" ht="15.75" customHeight="1">
      <c r="A196" s="98"/>
      <c r="B196" s="98"/>
      <c r="C196" s="98"/>
      <c r="D196" s="98"/>
      <c r="E196" s="98"/>
      <c r="F196" s="98"/>
      <c r="G196" s="98"/>
      <c r="H196" s="98"/>
      <c r="I196" s="99"/>
      <c r="J196" s="99"/>
      <c r="K196" s="99"/>
      <c r="L196" s="99"/>
      <c r="M196" s="99"/>
      <c r="N196" s="99"/>
      <c r="O196" s="99"/>
      <c r="P196" s="99"/>
      <c r="Q196" s="99"/>
      <c r="R196" s="99"/>
      <c r="S196" s="98"/>
      <c r="T196" s="98"/>
      <c r="U196" s="98"/>
      <c r="V196" s="98"/>
      <c r="W196" s="98"/>
      <c r="X196" s="98"/>
      <c r="Y196" s="98"/>
      <c r="Z196" s="98"/>
      <c r="AA196" s="98"/>
      <c r="AB196" s="98"/>
      <c r="AC196" s="98"/>
      <c r="AD196" s="98"/>
      <c r="AE196" s="98"/>
      <c r="AF196" s="98"/>
      <c r="AG196" s="98"/>
      <c r="AH196" s="98"/>
      <c r="AI196" s="98"/>
      <c r="AJ196" s="98"/>
      <c r="AK196" s="98"/>
      <c r="AL196" s="98"/>
      <c r="AM196" s="98"/>
      <c r="AN196" s="98"/>
      <c r="AO196" s="98"/>
      <c r="AP196" s="98"/>
      <c r="AQ196" s="98"/>
      <c r="AR196" s="98"/>
      <c r="AS196" s="98"/>
      <c r="AT196" s="98"/>
      <c r="AU196" s="98"/>
      <c r="AV196" s="98"/>
      <c r="AW196" s="98"/>
      <c r="AX196" s="98"/>
      <c r="AY196" s="98"/>
      <c r="AZ196" s="98"/>
      <c r="BA196" s="98"/>
      <c r="BB196" s="98"/>
      <c r="BC196" s="98"/>
      <c r="BD196" s="98"/>
      <c r="BE196" s="98"/>
      <c r="BF196" s="98"/>
      <c r="BG196" s="98"/>
      <c r="BH196" s="98"/>
      <c r="BI196" s="98"/>
      <c r="BJ196" s="98"/>
      <c r="BK196" s="98"/>
      <c r="BL196" s="98"/>
      <c r="BM196" s="98"/>
      <c r="BN196" s="98"/>
      <c r="BO196" s="98"/>
      <c r="BP196" s="98"/>
      <c r="BQ196" s="98"/>
      <c r="BR196" s="98"/>
      <c r="BS196" s="98"/>
      <c r="BT196" s="98"/>
      <c r="BU196" s="98"/>
      <c r="BV196" s="98"/>
      <c r="BW196" s="98"/>
      <c r="BX196" s="98"/>
      <c r="BY196" s="98"/>
      <c r="BZ196" s="98"/>
      <c r="CA196" s="98"/>
    </row>
    <row r="197" ht="15.75" customHeight="1">
      <c r="A197" s="98"/>
      <c r="B197" s="98"/>
      <c r="C197" s="98"/>
      <c r="D197" s="98"/>
      <c r="E197" s="98"/>
      <c r="F197" s="98"/>
      <c r="G197" s="98"/>
      <c r="H197" s="98"/>
      <c r="I197" s="99"/>
      <c r="J197" s="99"/>
      <c r="K197" s="99"/>
      <c r="L197" s="99"/>
      <c r="M197" s="99"/>
      <c r="N197" s="99"/>
      <c r="O197" s="99"/>
      <c r="P197" s="99"/>
      <c r="Q197" s="99"/>
      <c r="R197" s="99"/>
      <c r="S197" s="98"/>
      <c r="T197" s="98"/>
      <c r="U197" s="98"/>
      <c r="V197" s="98"/>
      <c r="W197" s="98"/>
      <c r="X197" s="98"/>
      <c r="Y197" s="98"/>
      <c r="Z197" s="98"/>
      <c r="AA197" s="98"/>
      <c r="AB197" s="98"/>
      <c r="AC197" s="98"/>
      <c r="AD197" s="98"/>
      <c r="AE197" s="98"/>
      <c r="AF197" s="98"/>
      <c r="AG197" s="98"/>
      <c r="AH197" s="98"/>
      <c r="AI197" s="98"/>
      <c r="AJ197" s="98"/>
      <c r="AK197" s="98"/>
      <c r="AL197" s="98"/>
      <c r="AM197" s="98"/>
      <c r="AN197" s="98"/>
      <c r="AO197" s="98"/>
      <c r="AP197" s="98"/>
      <c r="AQ197" s="98"/>
      <c r="AR197" s="98"/>
      <c r="AS197" s="98"/>
      <c r="AT197" s="98"/>
      <c r="AU197" s="98"/>
      <c r="AV197" s="98"/>
      <c r="AW197" s="98"/>
      <c r="AX197" s="98"/>
      <c r="AY197" s="98"/>
      <c r="AZ197" s="98"/>
      <c r="BA197" s="98"/>
      <c r="BB197" s="98"/>
      <c r="BC197" s="98"/>
      <c r="BD197" s="98"/>
      <c r="BE197" s="98"/>
      <c r="BF197" s="98"/>
      <c r="BG197" s="98"/>
      <c r="BH197" s="98"/>
      <c r="BI197" s="98"/>
      <c r="BJ197" s="98"/>
      <c r="BK197" s="98"/>
      <c r="BL197" s="98"/>
      <c r="BM197" s="98"/>
      <c r="BN197" s="98"/>
      <c r="BO197" s="98"/>
      <c r="BP197" s="98"/>
      <c r="BQ197" s="98"/>
      <c r="BR197" s="98"/>
      <c r="BS197" s="98"/>
      <c r="BT197" s="98"/>
      <c r="BU197" s="98"/>
      <c r="BV197" s="98"/>
      <c r="BW197" s="98"/>
      <c r="BX197" s="98"/>
      <c r="BY197" s="98"/>
      <c r="BZ197" s="98"/>
      <c r="CA197" s="98"/>
    </row>
    <row r="198" ht="15.75" customHeight="1">
      <c r="A198" s="98"/>
      <c r="B198" s="98"/>
      <c r="C198" s="98"/>
      <c r="D198" s="98"/>
      <c r="E198" s="98"/>
      <c r="F198" s="98"/>
      <c r="G198" s="98"/>
      <c r="H198" s="98"/>
      <c r="I198" s="99"/>
      <c r="J198" s="99"/>
      <c r="K198" s="99"/>
      <c r="L198" s="99"/>
      <c r="M198" s="99"/>
      <c r="N198" s="99"/>
      <c r="O198" s="99"/>
      <c r="P198" s="99"/>
      <c r="Q198" s="99"/>
      <c r="R198" s="99"/>
      <c r="S198" s="98"/>
      <c r="T198" s="98"/>
      <c r="U198" s="98"/>
      <c r="V198" s="98"/>
      <c r="W198" s="98"/>
      <c r="X198" s="98"/>
      <c r="Y198" s="98"/>
      <c r="Z198" s="98"/>
      <c r="AA198" s="98"/>
      <c r="AB198" s="98"/>
      <c r="AC198" s="98"/>
      <c r="AD198" s="98"/>
      <c r="AE198" s="98"/>
      <c r="AF198" s="98"/>
      <c r="AG198" s="98"/>
      <c r="AH198" s="98"/>
      <c r="AI198" s="98"/>
      <c r="AJ198" s="98"/>
      <c r="AK198" s="98"/>
      <c r="AL198" s="98"/>
      <c r="AM198" s="98"/>
      <c r="AN198" s="98"/>
      <c r="AO198" s="98"/>
      <c r="AP198" s="98"/>
      <c r="AQ198" s="98"/>
      <c r="AR198" s="98"/>
      <c r="AS198" s="98"/>
      <c r="AT198" s="98"/>
      <c r="AU198" s="98"/>
      <c r="AV198" s="98"/>
      <c r="AW198" s="98"/>
      <c r="AX198" s="98"/>
      <c r="AY198" s="98"/>
      <c r="AZ198" s="98"/>
      <c r="BA198" s="98"/>
      <c r="BB198" s="98"/>
      <c r="BC198" s="98"/>
      <c r="BD198" s="98"/>
      <c r="BE198" s="98"/>
      <c r="BF198" s="98"/>
      <c r="BG198" s="98"/>
      <c r="BH198" s="98"/>
      <c r="BI198" s="98"/>
      <c r="BJ198" s="98"/>
      <c r="BK198" s="98"/>
      <c r="BL198" s="98"/>
      <c r="BM198" s="98"/>
      <c r="BN198" s="98"/>
      <c r="BO198" s="98"/>
      <c r="BP198" s="98"/>
      <c r="BQ198" s="98"/>
      <c r="BR198" s="98"/>
      <c r="BS198" s="98"/>
      <c r="BT198" s="98"/>
      <c r="BU198" s="98"/>
      <c r="BV198" s="98"/>
      <c r="BW198" s="98"/>
      <c r="BX198" s="98"/>
      <c r="BY198" s="98"/>
      <c r="BZ198" s="98"/>
      <c r="CA198" s="98"/>
    </row>
    <row r="199" ht="15.75" customHeight="1">
      <c r="A199" s="98"/>
      <c r="B199" s="98"/>
      <c r="C199" s="98"/>
      <c r="D199" s="98"/>
      <c r="E199" s="98"/>
      <c r="F199" s="98"/>
      <c r="G199" s="98"/>
      <c r="H199" s="98"/>
      <c r="I199" s="99"/>
      <c r="J199" s="99"/>
      <c r="K199" s="99"/>
      <c r="L199" s="99"/>
      <c r="M199" s="99"/>
      <c r="N199" s="99"/>
      <c r="O199" s="99"/>
      <c r="P199" s="99"/>
      <c r="Q199" s="99"/>
      <c r="R199" s="99"/>
      <c r="S199" s="98"/>
      <c r="T199" s="98"/>
      <c r="U199" s="98"/>
      <c r="V199" s="98"/>
      <c r="W199" s="98"/>
      <c r="X199" s="98"/>
      <c r="Y199" s="98"/>
      <c r="Z199" s="98"/>
      <c r="AA199" s="98"/>
      <c r="AB199" s="98"/>
      <c r="AC199" s="98"/>
      <c r="AD199" s="98"/>
      <c r="AE199" s="98"/>
      <c r="AF199" s="98"/>
      <c r="AG199" s="98"/>
      <c r="AH199" s="98"/>
      <c r="AI199" s="98"/>
      <c r="AJ199" s="98"/>
      <c r="AK199" s="98"/>
      <c r="AL199" s="98"/>
      <c r="AM199" s="98"/>
      <c r="AN199" s="98"/>
      <c r="AO199" s="98"/>
      <c r="AP199" s="98"/>
      <c r="AQ199" s="98"/>
      <c r="AR199" s="98"/>
      <c r="AS199" s="98"/>
      <c r="AT199" s="98"/>
      <c r="AU199" s="98"/>
      <c r="AV199" s="98"/>
      <c r="AW199" s="98"/>
      <c r="AX199" s="98"/>
      <c r="AY199" s="98"/>
      <c r="AZ199" s="98"/>
      <c r="BA199" s="98"/>
      <c r="BB199" s="98"/>
      <c r="BC199" s="98"/>
      <c r="BD199" s="98"/>
      <c r="BE199" s="98"/>
      <c r="BF199" s="98"/>
      <c r="BG199" s="98"/>
      <c r="BH199" s="98"/>
      <c r="BI199" s="98"/>
      <c r="BJ199" s="98"/>
      <c r="BK199" s="98"/>
      <c r="BL199" s="98"/>
      <c r="BM199" s="98"/>
      <c r="BN199" s="98"/>
      <c r="BO199" s="98"/>
      <c r="BP199" s="98"/>
      <c r="BQ199" s="98"/>
      <c r="BR199" s="98"/>
      <c r="BS199" s="98"/>
      <c r="BT199" s="98"/>
      <c r="BU199" s="98"/>
      <c r="BV199" s="98"/>
      <c r="BW199" s="98"/>
      <c r="BX199" s="98"/>
      <c r="BY199" s="98"/>
      <c r="BZ199" s="98"/>
      <c r="CA199" s="98"/>
    </row>
    <row r="200" ht="15.75" customHeight="1">
      <c r="A200" s="98"/>
      <c r="B200" s="98"/>
      <c r="C200" s="98"/>
      <c r="D200" s="98"/>
      <c r="E200" s="98"/>
      <c r="F200" s="98"/>
      <c r="G200" s="98"/>
      <c r="H200" s="98"/>
      <c r="I200" s="99"/>
      <c r="J200" s="99"/>
      <c r="K200" s="99"/>
      <c r="L200" s="99"/>
      <c r="M200" s="99"/>
      <c r="N200" s="99"/>
      <c r="O200" s="99"/>
      <c r="P200" s="99"/>
      <c r="Q200" s="99"/>
      <c r="R200" s="99"/>
      <c r="S200" s="98"/>
      <c r="T200" s="98"/>
      <c r="U200" s="98"/>
      <c r="V200" s="98"/>
      <c r="W200" s="98"/>
      <c r="X200" s="98"/>
      <c r="Y200" s="98"/>
      <c r="Z200" s="98"/>
      <c r="AA200" s="98"/>
      <c r="AB200" s="98"/>
      <c r="AC200" s="98"/>
      <c r="AD200" s="98"/>
      <c r="AE200" s="98"/>
      <c r="AF200" s="98"/>
      <c r="AG200" s="98"/>
      <c r="AH200" s="98"/>
      <c r="AI200" s="98"/>
      <c r="AJ200" s="98"/>
      <c r="AK200" s="98"/>
      <c r="AL200" s="98"/>
      <c r="AM200" s="98"/>
      <c r="AN200" s="98"/>
      <c r="AO200" s="98"/>
      <c r="AP200" s="98"/>
      <c r="AQ200" s="98"/>
      <c r="AR200" s="98"/>
      <c r="AS200" s="98"/>
      <c r="AT200" s="98"/>
      <c r="AU200" s="98"/>
      <c r="AV200" s="98"/>
      <c r="AW200" s="98"/>
      <c r="AX200" s="98"/>
      <c r="AY200" s="98"/>
      <c r="AZ200" s="98"/>
      <c r="BA200" s="98"/>
      <c r="BB200" s="98"/>
      <c r="BC200" s="98"/>
      <c r="BD200" s="98"/>
      <c r="BE200" s="98"/>
      <c r="BF200" s="98"/>
      <c r="BG200" s="98"/>
      <c r="BH200" s="98"/>
      <c r="BI200" s="98"/>
      <c r="BJ200" s="98"/>
      <c r="BK200" s="98"/>
      <c r="BL200" s="98"/>
      <c r="BM200" s="98"/>
      <c r="BN200" s="98"/>
      <c r="BO200" s="98"/>
      <c r="BP200" s="98"/>
      <c r="BQ200" s="98"/>
      <c r="BR200" s="98"/>
      <c r="BS200" s="98"/>
      <c r="BT200" s="98"/>
      <c r="BU200" s="98"/>
      <c r="BV200" s="98"/>
      <c r="BW200" s="98"/>
      <c r="BX200" s="98"/>
      <c r="BY200" s="98"/>
      <c r="BZ200" s="98"/>
      <c r="CA200" s="98"/>
    </row>
    <row r="201" ht="15.75" customHeight="1">
      <c r="A201" s="98"/>
      <c r="B201" s="98"/>
      <c r="C201" s="98"/>
      <c r="D201" s="98"/>
      <c r="E201" s="98"/>
      <c r="F201" s="98"/>
      <c r="G201" s="98"/>
      <c r="H201" s="98"/>
      <c r="I201" s="99"/>
      <c r="J201" s="99"/>
      <c r="K201" s="99"/>
      <c r="L201" s="99"/>
      <c r="M201" s="99"/>
      <c r="N201" s="99"/>
      <c r="O201" s="99"/>
      <c r="P201" s="99"/>
      <c r="Q201" s="99"/>
      <c r="R201" s="99"/>
      <c r="S201" s="98"/>
      <c r="T201" s="98"/>
      <c r="U201" s="98"/>
      <c r="V201" s="98"/>
      <c r="W201" s="98"/>
      <c r="X201" s="98"/>
      <c r="Y201" s="98"/>
      <c r="Z201" s="98"/>
      <c r="AA201" s="98"/>
      <c r="AB201" s="98"/>
      <c r="AC201" s="98"/>
      <c r="AD201" s="98"/>
      <c r="AE201" s="98"/>
      <c r="AF201" s="98"/>
      <c r="AG201" s="98"/>
      <c r="AH201" s="98"/>
      <c r="AI201" s="98"/>
      <c r="AJ201" s="98"/>
      <c r="AK201" s="98"/>
      <c r="AL201" s="98"/>
      <c r="AM201" s="98"/>
      <c r="AN201" s="98"/>
      <c r="AO201" s="98"/>
      <c r="AP201" s="98"/>
      <c r="AQ201" s="98"/>
      <c r="AR201" s="98"/>
      <c r="AS201" s="98"/>
      <c r="AT201" s="98"/>
      <c r="AU201" s="98"/>
      <c r="AV201" s="98"/>
      <c r="AW201" s="98"/>
      <c r="AX201" s="98"/>
      <c r="AY201" s="98"/>
      <c r="AZ201" s="98"/>
      <c r="BA201" s="98"/>
      <c r="BB201" s="98"/>
      <c r="BC201" s="98"/>
      <c r="BD201" s="98"/>
      <c r="BE201" s="98"/>
      <c r="BF201" s="98"/>
      <c r="BG201" s="98"/>
      <c r="BH201" s="98"/>
      <c r="BI201" s="98"/>
      <c r="BJ201" s="98"/>
      <c r="BK201" s="98"/>
      <c r="BL201" s="98"/>
      <c r="BM201" s="98"/>
      <c r="BN201" s="98"/>
      <c r="BO201" s="98"/>
      <c r="BP201" s="98"/>
      <c r="BQ201" s="98"/>
      <c r="BR201" s="98"/>
      <c r="BS201" s="98"/>
      <c r="BT201" s="98"/>
      <c r="BU201" s="98"/>
      <c r="BV201" s="98"/>
      <c r="BW201" s="98"/>
      <c r="BX201" s="98"/>
      <c r="BY201" s="98"/>
      <c r="BZ201" s="98"/>
      <c r="CA201" s="98"/>
    </row>
    <row r="202" ht="15.75" customHeight="1">
      <c r="A202" s="98"/>
      <c r="B202" s="98"/>
      <c r="C202" s="98"/>
      <c r="D202" s="98"/>
      <c r="E202" s="98"/>
      <c r="F202" s="98"/>
      <c r="G202" s="98"/>
      <c r="H202" s="98"/>
      <c r="I202" s="99"/>
      <c r="J202" s="99"/>
      <c r="K202" s="99"/>
      <c r="L202" s="99"/>
      <c r="M202" s="99"/>
      <c r="N202" s="99"/>
      <c r="O202" s="99"/>
      <c r="P202" s="99"/>
      <c r="Q202" s="99"/>
      <c r="R202" s="99"/>
      <c r="S202" s="98"/>
      <c r="T202" s="98"/>
      <c r="U202" s="98"/>
      <c r="V202" s="98"/>
      <c r="W202" s="98"/>
      <c r="X202" s="98"/>
      <c r="Y202" s="98"/>
      <c r="Z202" s="98"/>
      <c r="AA202" s="98"/>
      <c r="AB202" s="98"/>
      <c r="AC202" s="98"/>
      <c r="AD202" s="98"/>
      <c r="AE202" s="98"/>
      <c r="AF202" s="98"/>
      <c r="AG202" s="98"/>
      <c r="AH202" s="98"/>
      <c r="AI202" s="98"/>
      <c r="AJ202" s="98"/>
      <c r="AK202" s="98"/>
      <c r="AL202" s="98"/>
      <c r="AM202" s="98"/>
      <c r="AN202" s="98"/>
      <c r="AO202" s="98"/>
      <c r="AP202" s="98"/>
      <c r="AQ202" s="98"/>
      <c r="AR202" s="98"/>
      <c r="AS202" s="98"/>
      <c r="AT202" s="98"/>
      <c r="AU202" s="98"/>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c r="BT202" s="98"/>
      <c r="BU202" s="98"/>
      <c r="BV202" s="98"/>
      <c r="BW202" s="98"/>
      <c r="BX202" s="98"/>
      <c r="BY202" s="98"/>
      <c r="BZ202" s="98"/>
      <c r="CA202" s="98"/>
    </row>
    <row r="203" ht="15.75" customHeight="1">
      <c r="A203" s="98"/>
      <c r="B203" s="98"/>
      <c r="C203" s="98"/>
      <c r="D203" s="98"/>
      <c r="E203" s="98"/>
      <c r="F203" s="98"/>
      <c r="G203" s="98"/>
      <c r="H203" s="98"/>
      <c r="I203" s="99"/>
      <c r="J203" s="99"/>
      <c r="K203" s="99"/>
      <c r="L203" s="99"/>
      <c r="M203" s="99"/>
      <c r="N203" s="99"/>
      <c r="O203" s="99"/>
      <c r="P203" s="99"/>
      <c r="Q203" s="99"/>
      <c r="R203" s="99"/>
      <c r="S203" s="98"/>
      <c r="T203" s="98"/>
      <c r="U203" s="98"/>
      <c r="V203" s="98"/>
      <c r="W203" s="98"/>
      <c r="X203" s="98"/>
      <c r="Y203" s="98"/>
      <c r="Z203" s="98"/>
      <c r="AA203" s="98"/>
      <c r="AB203" s="98"/>
      <c r="AC203" s="98"/>
      <c r="AD203" s="98"/>
      <c r="AE203" s="98"/>
      <c r="AF203" s="98"/>
      <c r="AG203" s="98"/>
      <c r="AH203" s="98"/>
      <c r="AI203" s="98"/>
      <c r="AJ203" s="98"/>
      <c r="AK203" s="98"/>
      <c r="AL203" s="98"/>
      <c r="AM203" s="98"/>
      <c r="AN203" s="98"/>
      <c r="AO203" s="98"/>
      <c r="AP203" s="98"/>
      <c r="AQ203" s="98"/>
      <c r="AR203" s="98"/>
      <c r="AS203" s="98"/>
      <c r="AT203" s="98"/>
      <c r="AU203" s="98"/>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c r="BT203" s="98"/>
      <c r="BU203" s="98"/>
      <c r="BV203" s="98"/>
      <c r="BW203" s="98"/>
      <c r="BX203" s="98"/>
      <c r="BY203" s="98"/>
      <c r="BZ203" s="98"/>
      <c r="CA203" s="98"/>
    </row>
    <row r="204" ht="15.75" customHeight="1">
      <c r="A204" s="98"/>
      <c r="B204" s="98"/>
      <c r="C204" s="98"/>
      <c r="D204" s="98"/>
      <c r="E204" s="98"/>
      <c r="F204" s="98"/>
      <c r="G204" s="98"/>
      <c r="H204" s="98"/>
      <c r="I204" s="99"/>
      <c r="J204" s="99"/>
      <c r="K204" s="99"/>
      <c r="L204" s="99"/>
      <c r="M204" s="99"/>
      <c r="N204" s="99"/>
      <c r="O204" s="99"/>
      <c r="P204" s="99"/>
      <c r="Q204" s="99"/>
      <c r="R204" s="99"/>
      <c r="S204" s="98"/>
      <c r="T204" s="98"/>
      <c r="U204" s="98"/>
      <c r="V204" s="98"/>
      <c r="W204" s="98"/>
      <c r="X204" s="98"/>
      <c r="Y204" s="98"/>
      <c r="Z204" s="98"/>
      <c r="AA204" s="98"/>
      <c r="AB204" s="98"/>
      <c r="AC204" s="98"/>
      <c r="AD204" s="98"/>
      <c r="AE204" s="98"/>
      <c r="AF204" s="98"/>
      <c r="AG204" s="98"/>
      <c r="AH204" s="98"/>
      <c r="AI204" s="98"/>
      <c r="AJ204" s="98"/>
      <c r="AK204" s="98"/>
      <c r="AL204" s="98"/>
      <c r="AM204" s="98"/>
      <c r="AN204" s="98"/>
      <c r="AO204" s="98"/>
      <c r="AP204" s="98"/>
      <c r="AQ204" s="98"/>
      <c r="AR204" s="98"/>
      <c r="AS204" s="98"/>
      <c r="AT204" s="98"/>
      <c r="AU204" s="98"/>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c r="BT204" s="98"/>
      <c r="BU204" s="98"/>
      <c r="BV204" s="98"/>
      <c r="BW204" s="98"/>
      <c r="BX204" s="98"/>
      <c r="BY204" s="98"/>
      <c r="BZ204" s="98"/>
      <c r="CA204" s="98"/>
    </row>
    <row r="205" ht="15.75" customHeight="1">
      <c r="A205" s="98"/>
      <c r="B205" s="98"/>
      <c r="C205" s="98"/>
      <c r="D205" s="98"/>
      <c r="E205" s="98"/>
      <c r="F205" s="98"/>
      <c r="G205" s="98"/>
      <c r="H205" s="98"/>
      <c r="I205" s="99"/>
      <c r="J205" s="99"/>
      <c r="K205" s="99"/>
      <c r="L205" s="99"/>
      <c r="M205" s="99"/>
      <c r="N205" s="99"/>
      <c r="O205" s="99"/>
      <c r="P205" s="99"/>
      <c r="Q205" s="99"/>
      <c r="R205" s="99"/>
      <c r="S205" s="98"/>
      <c r="T205" s="98"/>
      <c r="U205" s="98"/>
      <c r="V205" s="98"/>
      <c r="W205" s="98"/>
      <c r="X205" s="98"/>
      <c r="Y205" s="98"/>
      <c r="Z205" s="98"/>
      <c r="AA205" s="98"/>
      <c r="AB205" s="98"/>
      <c r="AC205" s="98"/>
      <c r="AD205" s="98"/>
      <c r="AE205" s="98"/>
      <c r="AF205" s="98"/>
      <c r="AG205" s="98"/>
      <c r="AH205" s="98"/>
      <c r="AI205" s="98"/>
      <c r="AJ205" s="98"/>
      <c r="AK205" s="98"/>
      <c r="AL205" s="98"/>
      <c r="AM205" s="98"/>
      <c r="AN205" s="98"/>
      <c r="AO205" s="98"/>
      <c r="AP205" s="98"/>
      <c r="AQ205" s="98"/>
      <c r="AR205" s="98"/>
      <c r="AS205" s="98"/>
      <c r="AT205" s="98"/>
      <c r="AU205" s="98"/>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c r="BT205" s="98"/>
      <c r="BU205" s="98"/>
      <c r="BV205" s="98"/>
      <c r="BW205" s="98"/>
      <c r="BX205" s="98"/>
      <c r="BY205" s="98"/>
      <c r="BZ205" s="98"/>
      <c r="CA205" s="98"/>
    </row>
    <row r="206" ht="15.75" customHeight="1">
      <c r="A206" s="98"/>
      <c r="B206" s="98"/>
      <c r="C206" s="98"/>
      <c r="D206" s="98"/>
      <c r="E206" s="98"/>
      <c r="F206" s="98"/>
      <c r="G206" s="98"/>
      <c r="H206" s="98"/>
      <c r="I206" s="99"/>
      <c r="J206" s="99"/>
      <c r="K206" s="99"/>
      <c r="L206" s="99"/>
      <c r="M206" s="99"/>
      <c r="N206" s="99"/>
      <c r="O206" s="99"/>
      <c r="P206" s="99"/>
      <c r="Q206" s="99"/>
      <c r="R206" s="99"/>
      <c r="S206" s="98"/>
      <c r="T206" s="98"/>
      <c r="U206" s="98"/>
      <c r="V206" s="98"/>
      <c r="W206" s="98"/>
      <c r="X206" s="98"/>
      <c r="Y206" s="98"/>
      <c r="Z206" s="98"/>
      <c r="AA206" s="98"/>
      <c r="AB206" s="98"/>
      <c r="AC206" s="98"/>
      <c r="AD206" s="98"/>
      <c r="AE206" s="98"/>
      <c r="AF206" s="98"/>
      <c r="AG206" s="98"/>
      <c r="AH206" s="98"/>
      <c r="AI206" s="98"/>
      <c r="AJ206" s="98"/>
      <c r="AK206" s="98"/>
      <c r="AL206" s="98"/>
      <c r="AM206" s="98"/>
      <c r="AN206" s="98"/>
      <c r="AO206" s="98"/>
      <c r="AP206" s="98"/>
      <c r="AQ206" s="98"/>
      <c r="AR206" s="98"/>
      <c r="AS206" s="98"/>
      <c r="AT206" s="98"/>
      <c r="AU206" s="98"/>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c r="BT206" s="98"/>
      <c r="BU206" s="98"/>
      <c r="BV206" s="98"/>
      <c r="BW206" s="98"/>
      <c r="BX206" s="98"/>
      <c r="BY206" s="98"/>
      <c r="BZ206" s="98"/>
      <c r="CA206" s="98"/>
    </row>
    <row r="207" ht="15.75" customHeight="1">
      <c r="A207" s="98"/>
      <c r="B207" s="98"/>
      <c r="C207" s="98"/>
      <c r="D207" s="98"/>
      <c r="E207" s="98"/>
      <c r="F207" s="98"/>
      <c r="G207" s="98"/>
      <c r="H207" s="98"/>
      <c r="I207" s="99"/>
      <c r="J207" s="99"/>
      <c r="K207" s="99"/>
      <c r="L207" s="99"/>
      <c r="M207" s="99"/>
      <c r="N207" s="99"/>
      <c r="O207" s="99"/>
      <c r="P207" s="99"/>
      <c r="Q207" s="99"/>
      <c r="R207" s="99"/>
      <c r="S207" s="98"/>
      <c r="T207" s="98"/>
      <c r="U207" s="98"/>
      <c r="V207" s="98"/>
      <c r="W207" s="98"/>
      <c r="X207" s="98"/>
      <c r="Y207" s="98"/>
      <c r="Z207" s="98"/>
      <c r="AA207" s="98"/>
      <c r="AB207" s="98"/>
      <c r="AC207" s="98"/>
      <c r="AD207" s="98"/>
      <c r="AE207" s="98"/>
      <c r="AF207" s="98"/>
      <c r="AG207" s="98"/>
      <c r="AH207" s="98"/>
      <c r="AI207" s="98"/>
      <c r="AJ207" s="98"/>
      <c r="AK207" s="98"/>
      <c r="AL207" s="98"/>
      <c r="AM207" s="98"/>
      <c r="AN207" s="98"/>
      <c r="AO207" s="98"/>
      <c r="AP207" s="98"/>
      <c r="AQ207" s="98"/>
      <c r="AR207" s="98"/>
      <c r="AS207" s="98"/>
      <c r="AT207" s="98"/>
      <c r="AU207" s="98"/>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c r="BT207" s="98"/>
      <c r="BU207" s="98"/>
      <c r="BV207" s="98"/>
      <c r="BW207" s="98"/>
      <c r="BX207" s="98"/>
      <c r="BY207" s="98"/>
      <c r="BZ207" s="98"/>
      <c r="CA207" s="98"/>
    </row>
    <row r="208" ht="15.75" customHeight="1">
      <c r="A208" s="98"/>
      <c r="B208" s="98"/>
      <c r="C208" s="98"/>
      <c r="D208" s="98"/>
      <c r="E208" s="98"/>
      <c r="F208" s="98"/>
      <c r="G208" s="98"/>
      <c r="H208" s="98"/>
      <c r="I208" s="99"/>
      <c r="J208" s="99"/>
      <c r="K208" s="99"/>
      <c r="L208" s="99"/>
      <c r="M208" s="99"/>
      <c r="N208" s="99"/>
      <c r="O208" s="99"/>
      <c r="P208" s="99"/>
      <c r="Q208" s="99"/>
      <c r="R208" s="99"/>
      <c r="S208" s="98"/>
      <c r="T208" s="98"/>
      <c r="U208" s="98"/>
      <c r="V208" s="98"/>
      <c r="W208" s="98"/>
      <c r="X208" s="98"/>
      <c r="Y208" s="98"/>
      <c r="Z208" s="98"/>
      <c r="AA208" s="98"/>
      <c r="AB208" s="98"/>
      <c r="AC208" s="98"/>
      <c r="AD208" s="98"/>
      <c r="AE208" s="98"/>
      <c r="AF208" s="98"/>
      <c r="AG208" s="98"/>
      <c r="AH208" s="98"/>
      <c r="AI208" s="98"/>
      <c r="AJ208" s="98"/>
      <c r="AK208" s="98"/>
      <c r="AL208" s="98"/>
      <c r="AM208" s="98"/>
      <c r="AN208" s="98"/>
      <c r="AO208" s="98"/>
      <c r="AP208" s="98"/>
      <c r="AQ208" s="98"/>
      <c r="AR208" s="98"/>
      <c r="AS208" s="98"/>
      <c r="AT208" s="98"/>
      <c r="AU208" s="98"/>
      <c r="AV208" s="98"/>
      <c r="AW208" s="98"/>
      <c r="AX208" s="98"/>
      <c r="AY208" s="98"/>
      <c r="AZ208" s="98"/>
      <c r="BA208" s="98"/>
      <c r="BB208" s="98"/>
      <c r="BC208" s="98"/>
      <c r="BD208" s="98"/>
      <c r="BE208" s="98"/>
      <c r="BF208" s="98"/>
      <c r="BG208" s="98"/>
      <c r="BH208" s="98"/>
      <c r="BI208" s="98"/>
      <c r="BJ208" s="98"/>
      <c r="BK208" s="98"/>
      <c r="BL208" s="98"/>
      <c r="BM208" s="98"/>
      <c r="BN208" s="98"/>
      <c r="BO208" s="98"/>
      <c r="BP208" s="98"/>
      <c r="BQ208" s="98"/>
      <c r="BR208" s="98"/>
      <c r="BS208" s="98"/>
      <c r="BT208" s="98"/>
      <c r="BU208" s="98"/>
      <c r="BV208" s="98"/>
      <c r="BW208" s="98"/>
      <c r="BX208" s="98"/>
      <c r="BY208" s="98"/>
      <c r="BZ208" s="98"/>
      <c r="CA208" s="98"/>
    </row>
    <row r="209" ht="15.75" customHeight="1">
      <c r="A209" s="98"/>
      <c r="B209" s="98"/>
      <c r="C209" s="98"/>
      <c r="D209" s="98"/>
      <c r="E209" s="98"/>
      <c r="F209" s="98"/>
      <c r="G209" s="98"/>
      <c r="H209" s="98"/>
      <c r="I209" s="99"/>
      <c r="J209" s="99"/>
      <c r="K209" s="99"/>
      <c r="L209" s="99"/>
      <c r="M209" s="99"/>
      <c r="N209" s="99"/>
      <c r="O209" s="99"/>
      <c r="P209" s="99"/>
      <c r="Q209" s="99"/>
      <c r="R209" s="99"/>
      <c r="S209" s="98"/>
      <c r="T209" s="98"/>
      <c r="U209" s="98"/>
      <c r="V209" s="98"/>
      <c r="W209" s="98"/>
      <c r="X209" s="98"/>
      <c r="Y209" s="98"/>
      <c r="Z209" s="98"/>
      <c r="AA209" s="98"/>
      <c r="AB209" s="98"/>
      <c r="AC209" s="98"/>
      <c r="AD209" s="98"/>
      <c r="AE209" s="98"/>
      <c r="AF209" s="98"/>
      <c r="AG209" s="98"/>
      <c r="AH209" s="98"/>
      <c r="AI209" s="98"/>
      <c r="AJ209" s="98"/>
      <c r="AK209" s="98"/>
      <c r="AL209" s="98"/>
      <c r="AM209" s="98"/>
      <c r="AN209" s="98"/>
      <c r="AO209" s="98"/>
      <c r="AP209" s="98"/>
      <c r="AQ209" s="98"/>
      <c r="AR209" s="98"/>
      <c r="AS209" s="98"/>
      <c r="AT209" s="98"/>
      <c r="AU209" s="98"/>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c r="BT209" s="98"/>
      <c r="BU209" s="98"/>
      <c r="BV209" s="98"/>
      <c r="BW209" s="98"/>
      <c r="BX209" s="98"/>
      <c r="BY209" s="98"/>
      <c r="BZ209" s="98"/>
      <c r="CA209" s="98"/>
    </row>
    <row r="210" ht="15.75" customHeight="1">
      <c r="A210" s="98"/>
      <c r="B210" s="98"/>
      <c r="C210" s="98"/>
      <c r="D210" s="98"/>
      <c r="E210" s="98"/>
      <c r="F210" s="98"/>
      <c r="G210" s="98"/>
      <c r="H210" s="98"/>
      <c r="I210" s="99"/>
      <c r="J210" s="99"/>
      <c r="K210" s="99"/>
      <c r="L210" s="99"/>
      <c r="M210" s="99"/>
      <c r="N210" s="99"/>
      <c r="O210" s="99"/>
      <c r="P210" s="99"/>
      <c r="Q210" s="99"/>
      <c r="R210" s="99"/>
      <c r="S210" s="98"/>
      <c r="T210" s="98"/>
      <c r="U210" s="98"/>
      <c r="V210" s="98"/>
      <c r="W210" s="98"/>
      <c r="X210" s="98"/>
      <c r="Y210" s="98"/>
      <c r="Z210" s="98"/>
      <c r="AA210" s="98"/>
      <c r="AB210" s="98"/>
      <c r="AC210" s="98"/>
      <c r="AD210" s="98"/>
      <c r="AE210" s="98"/>
      <c r="AF210" s="98"/>
      <c r="AG210" s="98"/>
      <c r="AH210" s="98"/>
      <c r="AI210" s="98"/>
      <c r="AJ210" s="98"/>
      <c r="AK210" s="98"/>
      <c r="AL210" s="98"/>
      <c r="AM210" s="98"/>
      <c r="AN210" s="98"/>
      <c r="AO210" s="98"/>
      <c r="AP210" s="98"/>
      <c r="AQ210" s="98"/>
      <c r="AR210" s="98"/>
      <c r="AS210" s="98"/>
      <c r="AT210" s="98"/>
      <c r="AU210" s="98"/>
      <c r="AV210" s="98"/>
      <c r="AW210" s="98"/>
      <c r="AX210" s="98"/>
      <c r="AY210" s="98"/>
      <c r="AZ210" s="98"/>
      <c r="BA210" s="98"/>
      <c r="BB210" s="98"/>
      <c r="BC210" s="98"/>
      <c r="BD210" s="98"/>
      <c r="BE210" s="98"/>
      <c r="BF210" s="98"/>
      <c r="BG210" s="98"/>
      <c r="BH210" s="98"/>
      <c r="BI210" s="98"/>
      <c r="BJ210" s="98"/>
      <c r="BK210" s="98"/>
      <c r="BL210" s="98"/>
      <c r="BM210" s="98"/>
      <c r="BN210" s="98"/>
      <c r="BO210" s="98"/>
      <c r="BP210" s="98"/>
      <c r="BQ210" s="98"/>
      <c r="BR210" s="98"/>
      <c r="BS210" s="98"/>
      <c r="BT210" s="98"/>
      <c r="BU210" s="98"/>
      <c r="BV210" s="98"/>
      <c r="BW210" s="98"/>
      <c r="BX210" s="98"/>
      <c r="BY210" s="98"/>
      <c r="BZ210" s="98"/>
      <c r="CA210" s="98"/>
    </row>
    <row r="211" ht="15.75" customHeight="1">
      <c r="A211" s="98"/>
      <c r="B211" s="98"/>
      <c r="C211" s="98"/>
      <c r="D211" s="98"/>
      <c r="E211" s="98"/>
      <c r="F211" s="98"/>
      <c r="G211" s="98"/>
      <c r="H211" s="98"/>
      <c r="I211" s="99"/>
      <c r="J211" s="99"/>
      <c r="K211" s="99"/>
      <c r="L211" s="99"/>
      <c r="M211" s="99"/>
      <c r="N211" s="99"/>
      <c r="O211" s="99"/>
      <c r="P211" s="99"/>
      <c r="Q211" s="99"/>
      <c r="R211" s="99"/>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row>
    <row r="212" ht="15.75" customHeight="1">
      <c r="A212" s="98"/>
      <c r="B212" s="98"/>
      <c r="C212" s="98"/>
      <c r="D212" s="98"/>
      <c r="E212" s="98"/>
      <c r="F212" s="98"/>
      <c r="G212" s="98"/>
      <c r="H212" s="98"/>
      <c r="I212" s="99"/>
      <c r="J212" s="99"/>
      <c r="K212" s="99"/>
      <c r="L212" s="99"/>
      <c r="M212" s="99"/>
      <c r="N212" s="99"/>
      <c r="O212" s="99"/>
      <c r="P212" s="99"/>
      <c r="Q212" s="99"/>
      <c r="R212" s="99"/>
      <c r="S212" s="98"/>
      <c r="T212" s="98"/>
      <c r="U212" s="98"/>
      <c r="V212" s="98"/>
      <c r="W212" s="98"/>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8"/>
      <c r="AU212" s="98"/>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c r="BT212" s="98"/>
      <c r="BU212" s="98"/>
      <c r="BV212" s="98"/>
      <c r="BW212" s="98"/>
      <c r="BX212" s="98"/>
      <c r="BY212" s="98"/>
      <c r="BZ212" s="98"/>
      <c r="CA212" s="98"/>
    </row>
    <row r="213" ht="15.75" customHeight="1">
      <c r="A213" s="98"/>
      <c r="B213" s="98"/>
      <c r="C213" s="98"/>
      <c r="D213" s="98"/>
      <c r="E213" s="98"/>
      <c r="F213" s="98"/>
      <c r="G213" s="98"/>
      <c r="H213" s="98"/>
      <c r="I213" s="99"/>
      <c r="J213" s="99"/>
      <c r="K213" s="99"/>
      <c r="L213" s="99"/>
      <c r="M213" s="99"/>
      <c r="N213" s="99"/>
      <c r="O213" s="99"/>
      <c r="P213" s="99"/>
      <c r="Q213" s="99"/>
      <c r="R213" s="99"/>
      <c r="S213" s="98"/>
      <c r="T213" s="98"/>
      <c r="U213" s="98"/>
      <c r="V213" s="98"/>
      <c r="W213" s="98"/>
      <c r="X213" s="98"/>
      <c r="Y213" s="98"/>
      <c r="Z213" s="98"/>
      <c r="AA213" s="98"/>
      <c r="AB213" s="98"/>
      <c r="AC213" s="98"/>
      <c r="AD213" s="98"/>
      <c r="AE213" s="98"/>
      <c r="AF213" s="98"/>
      <c r="AG213" s="98"/>
      <c r="AH213" s="98"/>
      <c r="AI213" s="98"/>
      <c r="AJ213" s="98"/>
      <c r="AK213" s="98"/>
      <c r="AL213" s="98"/>
      <c r="AM213" s="98"/>
      <c r="AN213" s="98"/>
      <c r="AO213" s="98"/>
      <c r="AP213" s="98"/>
      <c r="AQ213" s="98"/>
      <c r="AR213" s="98"/>
      <c r="AS213" s="98"/>
      <c r="AT213" s="98"/>
      <c r="AU213" s="98"/>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c r="BT213" s="98"/>
      <c r="BU213" s="98"/>
      <c r="BV213" s="98"/>
      <c r="BW213" s="98"/>
      <c r="BX213" s="98"/>
      <c r="BY213" s="98"/>
      <c r="BZ213" s="98"/>
      <c r="CA213" s="98"/>
    </row>
    <row r="214" ht="15.75" customHeight="1">
      <c r="A214" s="98"/>
      <c r="B214" s="98"/>
      <c r="C214" s="98"/>
      <c r="D214" s="98"/>
      <c r="E214" s="98"/>
      <c r="F214" s="98"/>
      <c r="G214" s="98"/>
      <c r="H214" s="98"/>
      <c r="I214" s="99"/>
      <c r="J214" s="99"/>
      <c r="K214" s="99"/>
      <c r="L214" s="99"/>
      <c r="M214" s="99"/>
      <c r="N214" s="99"/>
      <c r="O214" s="99"/>
      <c r="P214" s="99"/>
      <c r="Q214" s="99"/>
      <c r="R214" s="99"/>
      <c r="S214" s="98"/>
      <c r="T214" s="98"/>
      <c r="U214" s="98"/>
      <c r="V214" s="98"/>
      <c r="W214" s="98"/>
      <c r="X214" s="98"/>
      <c r="Y214" s="98"/>
      <c r="Z214" s="98"/>
      <c r="AA214" s="98"/>
      <c r="AB214" s="98"/>
      <c r="AC214" s="98"/>
      <c r="AD214" s="98"/>
      <c r="AE214" s="98"/>
      <c r="AF214" s="98"/>
      <c r="AG214" s="98"/>
      <c r="AH214" s="98"/>
      <c r="AI214" s="98"/>
      <c r="AJ214" s="98"/>
      <c r="AK214" s="98"/>
      <c r="AL214" s="98"/>
      <c r="AM214" s="98"/>
      <c r="AN214" s="98"/>
      <c r="AO214" s="98"/>
      <c r="AP214" s="98"/>
      <c r="AQ214" s="98"/>
      <c r="AR214" s="98"/>
      <c r="AS214" s="98"/>
      <c r="AT214" s="98"/>
      <c r="AU214" s="98"/>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c r="BT214" s="98"/>
      <c r="BU214" s="98"/>
      <c r="BV214" s="98"/>
      <c r="BW214" s="98"/>
      <c r="BX214" s="98"/>
      <c r="BY214" s="98"/>
      <c r="BZ214" s="98"/>
      <c r="CA214" s="98"/>
    </row>
    <row r="215" ht="15.75" customHeight="1">
      <c r="A215" s="98"/>
      <c r="B215" s="98"/>
      <c r="C215" s="98"/>
      <c r="D215" s="98"/>
      <c r="E215" s="98"/>
      <c r="F215" s="98"/>
      <c r="G215" s="98"/>
      <c r="H215" s="98"/>
      <c r="I215" s="99"/>
      <c r="J215" s="99"/>
      <c r="K215" s="99"/>
      <c r="L215" s="99"/>
      <c r="M215" s="99"/>
      <c r="N215" s="99"/>
      <c r="O215" s="99"/>
      <c r="P215" s="99"/>
      <c r="Q215" s="99"/>
      <c r="R215" s="99"/>
      <c r="S215" s="98"/>
      <c r="T215" s="98"/>
      <c r="U215" s="98"/>
      <c r="V215" s="98"/>
      <c r="W215" s="98"/>
      <c r="X215" s="98"/>
      <c r="Y215" s="98"/>
      <c r="Z215" s="98"/>
      <c r="AA215" s="98"/>
      <c r="AB215" s="98"/>
      <c r="AC215" s="98"/>
      <c r="AD215" s="98"/>
      <c r="AE215" s="98"/>
      <c r="AF215" s="98"/>
      <c r="AG215" s="98"/>
      <c r="AH215" s="98"/>
      <c r="AI215" s="98"/>
      <c r="AJ215" s="98"/>
      <c r="AK215" s="98"/>
      <c r="AL215" s="98"/>
      <c r="AM215" s="98"/>
      <c r="AN215" s="98"/>
      <c r="AO215" s="98"/>
      <c r="AP215" s="98"/>
      <c r="AQ215" s="98"/>
      <c r="AR215" s="98"/>
      <c r="AS215" s="98"/>
      <c r="AT215" s="98"/>
      <c r="AU215" s="98"/>
      <c r="AV215" s="98"/>
      <c r="AW215" s="98"/>
      <c r="AX215" s="98"/>
      <c r="AY215" s="98"/>
      <c r="AZ215" s="98"/>
      <c r="BA215" s="98"/>
      <c r="BB215" s="98"/>
      <c r="BC215" s="98"/>
      <c r="BD215" s="98"/>
      <c r="BE215" s="98"/>
      <c r="BF215" s="98"/>
      <c r="BG215" s="98"/>
      <c r="BH215" s="98"/>
      <c r="BI215" s="98"/>
      <c r="BJ215" s="98"/>
      <c r="BK215" s="98"/>
      <c r="BL215" s="98"/>
      <c r="BM215" s="98"/>
      <c r="BN215" s="98"/>
      <c r="BO215" s="98"/>
      <c r="BP215" s="98"/>
      <c r="BQ215" s="98"/>
      <c r="BR215" s="98"/>
      <c r="BS215" s="98"/>
      <c r="BT215" s="98"/>
      <c r="BU215" s="98"/>
      <c r="BV215" s="98"/>
      <c r="BW215" s="98"/>
      <c r="BX215" s="98"/>
      <c r="BY215" s="98"/>
      <c r="BZ215" s="98"/>
      <c r="CA215" s="98"/>
    </row>
    <row r="216" ht="15.75" customHeight="1">
      <c r="A216" s="98"/>
      <c r="B216" s="98"/>
      <c r="C216" s="98"/>
      <c r="D216" s="98"/>
      <c r="E216" s="98"/>
      <c r="F216" s="98"/>
      <c r="G216" s="98"/>
      <c r="H216" s="98"/>
      <c r="I216" s="99"/>
      <c r="J216" s="99"/>
      <c r="K216" s="99"/>
      <c r="L216" s="99"/>
      <c r="M216" s="99"/>
      <c r="N216" s="99"/>
      <c r="O216" s="99"/>
      <c r="P216" s="99"/>
      <c r="Q216" s="99"/>
      <c r="R216" s="99"/>
      <c r="S216" s="98"/>
      <c r="T216" s="98"/>
      <c r="U216" s="98"/>
      <c r="V216" s="98"/>
      <c r="W216" s="98"/>
      <c r="X216" s="98"/>
      <c r="Y216" s="98"/>
      <c r="Z216" s="98"/>
      <c r="AA216" s="98"/>
      <c r="AB216" s="98"/>
      <c r="AC216" s="98"/>
      <c r="AD216" s="98"/>
      <c r="AE216" s="98"/>
      <c r="AF216" s="98"/>
      <c r="AG216" s="98"/>
      <c r="AH216" s="98"/>
      <c r="AI216" s="98"/>
      <c r="AJ216" s="98"/>
      <c r="AK216" s="98"/>
      <c r="AL216" s="98"/>
      <c r="AM216" s="98"/>
      <c r="AN216" s="98"/>
      <c r="AO216" s="98"/>
      <c r="AP216" s="98"/>
      <c r="AQ216" s="98"/>
      <c r="AR216" s="98"/>
      <c r="AS216" s="98"/>
      <c r="AT216" s="98"/>
      <c r="AU216" s="98"/>
      <c r="AV216" s="98"/>
      <c r="AW216" s="98"/>
      <c r="AX216" s="98"/>
      <c r="AY216" s="98"/>
      <c r="AZ216" s="98"/>
      <c r="BA216" s="98"/>
      <c r="BB216" s="98"/>
      <c r="BC216" s="98"/>
      <c r="BD216" s="98"/>
      <c r="BE216" s="98"/>
      <c r="BF216" s="98"/>
      <c r="BG216" s="98"/>
      <c r="BH216" s="98"/>
      <c r="BI216" s="98"/>
      <c r="BJ216" s="98"/>
      <c r="BK216" s="98"/>
      <c r="BL216" s="98"/>
      <c r="BM216" s="98"/>
      <c r="BN216" s="98"/>
      <c r="BO216" s="98"/>
      <c r="BP216" s="98"/>
      <c r="BQ216" s="98"/>
      <c r="BR216" s="98"/>
      <c r="BS216" s="98"/>
      <c r="BT216" s="98"/>
      <c r="BU216" s="98"/>
      <c r="BV216" s="98"/>
      <c r="BW216" s="98"/>
      <c r="BX216" s="98"/>
      <c r="BY216" s="98"/>
      <c r="BZ216" s="98"/>
      <c r="CA216" s="98"/>
    </row>
    <row r="217" ht="15.75" customHeight="1">
      <c r="A217" s="98"/>
      <c r="B217" s="98"/>
      <c r="C217" s="98"/>
      <c r="D217" s="98"/>
      <c r="E217" s="98"/>
      <c r="F217" s="98"/>
      <c r="G217" s="98"/>
      <c r="H217" s="98"/>
      <c r="I217" s="99"/>
      <c r="J217" s="99"/>
      <c r="K217" s="99"/>
      <c r="L217" s="99"/>
      <c r="M217" s="99"/>
      <c r="N217" s="99"/>
      <c r="O217" s="99"/>
      <c r="P217" s="99"/>
      <c r="Q217" s="99"/>
      <c r="R217" s="99"/>
      <c r="S217" s="98"/>
      <c r="T217" s="98"/>
      <c r="U217" s="98"/>
      <c r="V217" s="98"/>
      <c r="W217" s="98"/>
      <c r="X217" s="98"/>
      <c r="Y217" s="98"/>
      <c r="Z217" s="98"/>
      <c r="AA217" s="98"/>
      <c r="AB217" s="98"/>
      <c r="AC217" s="98"/>
      <c r="AD217" s="98"/>
      <c r="AE217" s="98"/>
      <c r="AF217" s="98"/>
      <c r="AG217" s="98"/>
      <c r="AH217" s="98"/>
      <c r="AI217" s="98"/>
      <c r="AJ217" s="98"/>
      <c r="AK217" s="98"/>
      <c r="AL217" s="98"/>
      <c r="AM217" s="98"/>
      <c r="AN217" s="98"/>
      <c r="AO217" s="98"/>
      <c r="AP217" s="98"/>
      <c r="AQ217" s="98"/>
      <c r="AR217" s="98"/>
      <c r="AS217" s="98"/>
      <c r="AT217" s="98"/>
      <c r="AU217" s="98"/>
      <c r="AV217" s="98"/>
      <c r="AW217" s="98"/>
      <c r="AX217" s="98"/>
      <c r="AY217" s="98"/>
      <c r="AZ217" s="98"/>
      <c r="BA217" s="98"/>
      <c r="BB217" s="98"/>
      <c r="BC217" s="98"/>
      <c r="BD217" s="98"/>
      <c r="BE217" s="98"/>
      <c r="BF217" s="98"/>
      <c r="BG217" s="98"/>
      <c r="BH217" s="98"/>
      <c r="BI217" s="98"/>
      <c r="BJ217" s="98"/>
      <c r="BK217" s="98"/>
      <c r="BL217" s="98"/>
      <c r="BM217" s="98"/>
      <c r="BN217" s="98"/>
      <c r="BO217" s="98"/>
      <c r="BP217" s="98"/>
      <c r="BQ217" s="98"/>
      <c r="BR217" s="98"/>
      <c r="BS217" s="98"/>
      <c r="BT217" s="98"/>
      <c r="BU217" s="98"/>
      <c r="BV217" s="98"/>
      <c r="BW217" s="98"/>
      <c r="BX217" s="98"/>
      <c r="BY217" s="98"/>
      <c r="BZ217" s="98"/>
      <c r="CA217" s="98"/>
    </row>
    <row r="218" ht="15.75" customHeight="1">
      <c r="A218" s="98"/>
      <c r="B218" s="98"/>
      <c r="C218" s="98"/>
      <c r="D218" s="98"/>
      <c r="E218" s="98"/>
      <c r="F218" s="98"/>
      <c r="G218" s="98"/>
      <c r="H218" s="98"/>
      <c r="I218" s="99"/>
      <c r="J218" s="99"/>
      <c r="K218" s="99"/>
      <c r="L218" s="99"/>
      <c r="M218" s="99"/>
      <c r="N218" s="99"/>
      <c r="O218" s="99"/>
      <c r="P218" s="99"/>
      <c r="Q218" s="99"/>
      <c r="R218" s="99"/>
      <c r="S218" s="98"/>
      <c r="T218" s="98"/>
      <c r="U218" s="98"/>
      <c r="V218" s="98"/>
      <c r="W218" s="98"/>
      <c r="X218" s="98"/>
      <c r="Y218" s="98"/>
      <c r="Z218" s="98"/>
      <c r="AA218" s="98"/>
      <c r="AB218" s="98"/>
      <c r="AC218" s="98"/>
      <c r="AD218" s="98"/>
      <c r="AE218" s="98"/>
      <c r="AF218" s="98"/>
      <c r="AG218" s="98"/>
      <c r="AH218" s="98"/>
      <c r="AI218" s="98"/>
      <c r="AJ218" s="98"/>
      <c r="AK218" s="98"/>
      <c r="AL218" s="98"/>
      <c r="AM218" s="98"/>
      <c r="AN218" s="98"/>
      <c r="AO218" s="98"/>
      <c r="AP218" s="98"/>
      <c r="AQ218" s="98"/>
      <c r="AR218" s="98"/>
      <c r="AS218" s="98"/>
      <c r="AT218" s="98"/>
      <c r="AU218" s="98"/>
      <c r="AV218" s="98"/>
      <c r="AW218" s="98"/>
      <c r="AX218" s="98"/>
      <c r="AY218" s="98"/>
      <c r="AZ218" s="98"/>
      <c r="BA218" s="98"/>
      <c r="BB218" s="98"/>
      <c r="BC218" s="98"/>
      <c r="BD218" s="98"/>
      <c r="BE218" s="98"/>
      <c r="BF218" s="98"/>
      <c r="BG218" s="98"/>
      <c r="BH218" s="98"/>
      <c r="BI218" s="98"/>
      <c r="BJ218" s="98"/>
      <c r="BK218" s="98"/>
      <c r="BL218" s="98"/>
      <c r="BM218" s="98"/>
      <c r="BN218" s="98"/>
      <c r="BO218" s="98"/>
      <c r="BP218" s="98"/>
      <c r="BQ218" s="98"/>
      <c r="BR218" s="98"/>
      <c r="BS218" s="98"/>
      <c r="BT218" s="98"/>
      <c r="BU218" s="98"/>
      <c r="BV218" s="98"/>
      <c r="BW218" s="98"/>
      <c r="BX218" s="98"/>
      <c r="BY218" s="98"/>
      <c r="BZ218" s="98"/>
      <c r="CA218" s="98"/>
    </row>
    <row r="219" ht="15.75" customHeight="1">
      <c r="A219" s="98"/>
      <c r="B219" s="98"/>
      <c r="C219" s="98"/>
      <c r="D219" s="98"/>
      <c r="E219" s="98"/>
      <c r="F219" s="98"/>
      <c r="G219" s="98"/>
      <c r="H219" s="98"/>
      <c r="I219" s="99"/>
      <c r="J219" s="99"/>
      <c r="K219" s="99"/>
      <c r="L219" s="99"/>
      <c r="M219" s="99"/>
      <c r="N219" s="99"/>
      <c r="O219" s="99"/>
      <c r="P219" s="99"/>
      <c r="Q219" s="99"/>
      <c r="R219" s="99"/>
      <c r="S219" s="98"/>
      <c r="T219" s="98"/>
      <c r="U219" s="98"/>
      <c r="V219" s="98"/>
      <c r="W219" s="98"/>
      <c r="X219" s="98"/>
      <c r="Y219" s="98"/>
      <c r="Z219" s="98"/>
      <c r="AA219" s="98"/>
      <c r="AB219" s="98"/>
      <c r="AC219" s="98"/>
      <c r="AD219" s="98"/>
      <c r="AE219" s="98"/>
      <c r="AF219" s="98"/>
      <c r="AG219" s="98"/>
      <c r="AH219" s="98"/>
      <c r="AI219" s="98"/>
      <c r="AJ219" s="98"/>
      <c r="AK219" s="98"/>
      <c r="AL219" s="98"/>
      <c r="AM219" s="98"/>
      <c r="AN219" s="98"/>
      <c r="AO219" s="98"/>
      <c r="AP219" s="98"/>
      <c r="AQ219" s="98"/>
      <c r="AR219" s="98"/>
      <c r="AS219" s="98"/>
      <c r="AT219" s="98"/>
      <c r="AU219" s="98"/>
      <c r="AV219" s="98"/>
      <c r="AW219" s="98"/>
      <c r="AX219" s="98"/>
      <c r="AY219" s="98"/>
      <c r="AZ219" s="98"/>
      <c r="BA219" s="98"/>
      <c r="BB219" s="98"/>
      <c r="BC219" s="98"/>
      <c r="BD219" s="98"/>
      <c r="BE219" s="98"/>
      <c r="BF219" s="98"/>
      <c r="BG219" s="98"/>
      <c r="BH219" s="98"/>
      <c r="BI219" s="98"/>
      <c r="BJ219" s="98"/>
      <c r="BK219" s="98"/>
      <c r="BL219" s="98"/>
      <c r="BM219" s="98"/>
      <c r="BN219" s="98"/>
      <c r="BO219" s="98"/>
      <c r="BP219" s="98"/>
      <c r="BQ219" s="98"/>
      <c r="BR219" s="98"/>
      <c r="BS219" s="98"/>
      <c r="BT219" s="98"/>
      <c r="BU219" s="98"/>
      <c r="BV219" s="98"/>
      <c r="BW219" s="98"/>
      <c r="BX219" s="98"/>
      <c r="BY219" s="98"/>
      <c r="BZ219" s="98"/>
      <c r="CA219" s="98"/>
    </row>
    <row r="220" ht="15.75" customHeight="1">
      <c r="A220" s="98"/>
      <c r="B220" s="98"/>
      <c r="C220" s="98"/>
      <c r="D220" s="98"/>
      <c r="E220" s="98"/>
      <c r="F220" s="98"/>
      <c r="G220" s="98"/>
      <c r="H220" s="98"/>
      <c r="I220" s="99"/>
      <c r="J220" s="99"/>
      <c r="K220" s="99"/>
      <c r="L220" s="99"/>
      <c r="M220" s="99"/>
      <c r="N220" s="99"/>
      <c r="O220" s="99"/>
      <c r="P220" s="99"/>
      <c r="Q220" s="99"/>
      <c r="R220" s="99"/>
      <c r="S220" s="98"/>
      <c r="T220" s="98"/>
      <c r="U220" s="98"/>
      <c r="V220" s="98"/>
      <c r="W220" s="98"/>
      <c r="X220" s="98"/>
      <c r="Y220" s="98"/>
      <c r="Z220" s="98"/>
      <c r="AA220" s="98"/>
      <c r="AB220" s="98"/>
      <c r="AC220" s="98"/>
      <c r="AD220" s="98"/>
      <c r="AE220" s="98"/>
      <c r="AF220" s="98"/>
      <c r="AG220" s="98"/>
      <c r="AH220" s="98"/>
      <c r="AI220" s="98"/>
      <c r="AJ220" s="98"/>
      <c r="AK220" s="98"/>
      <c r="AL220" s="98"/>
      <c r="AM220" s="98"/>
      <c r="AN220" s="98"/>
      <c r="AO220" s="98"/>
      <c r="AP220" s="98"/>
      <c r="AQ220" s="98"/>
      <c r="AR220" s="98"/>
      <c r="AS220" s="98"/>
      <c r="AT220" s="98"/>
      <c r="AU220" s="98"/>
      <c r="AV220" s="98"/>
      <c r="AW220" s="98"/>
      <c r="AX220" s="98"/>
      <c r="AY220" s="98"/>
      <c r="AZ220" s="98"/>
      <c r="BA220" s="98"/>
      <c r="BB220" s="98"/>
      <c r="BC220" s="98"/>
      <c r="BD220" s="98"/>
      <c r="BE220" s="98"/>
      <c r="BF220" s="98"/>
      <c r="BG220" s="98"/>
      <c r="BH220" s="98"/>
      <c r="BI220" s="98"/>
      <c r="BJ220" s="98"/>
      <c r="BK220" s="98"/>
      <c r="BL220" s="98"/>
      <c r="BM220" s="98"/>
      <c r="BN220" s="98"/>
      <c r="BO220" s="98"/>
      <c r="BP220" s="98"/>
      <c r="BQ220" s="98"/>
      <c r="BR220" s="98"/>
      <c r="BS220" s="98"/>
      <c r="BT220" s="98"/>
      <c r="BU220" s="98"/>
      <c r="BV220" s="98"/>
      <c r="BW220" s="98"/>
      <c r="BX220" s="98"/>
      <c r="BY220" s="98"/>
      <c r="BZ220" s="98"/>
      <c r="CA220" s="98"/>
    </row>
    <row r="221" ht="15.75" customHeight="1">
      <c r="A221" s="98"/>
      <c r="B221" s="98"/>
      <c r="C221" s="98"/>
      <c r="D221" s="98"/>
      <c r="E221" s="98"/>
      <c r="F221" s="98"/>
      <c r="G221" s="98"/>
      <c r="H221" s="98"/>
      <c r="I221" s="99"/>
      <c r="J221" s="99"/>
      <c r="K221" s="99"/>
      <c r="L221" s="99"/>
      <c r="M221" s="99"/>
      <c r="N221" s="99"/>
      <c r="O221" s="99"/>
      <c r="P221" s="99"/>
      <c r="Q221" s="99"/>
      <c r="R221" s="99"/>
      <c r="S221" s="98"/>
      <c r="T221" s="98"/>
      <c r="U221" s="98"/>
      <c r="V221" s="98"/>
      <c r="W221" s="98"/>
      <c r="X221" s="98"/>
      <c r="Y221" s="98"/>
      <c r="Z221" s="98"/>
      <c r="AA221" s="98"/>
      <c r="AB221" s="98"/>
      <c r="AC221" s="98"/>
      <c r="AD221" s="98"/>
      <c r="AE221" s="98"/>
      <c r="AF221" s="98"/>
      <c r="AG221" s="98"/>
      <c r="AH221" s="98"/>
      <c r="AI221" s="98"/>
      <c r="AJ221" s="98"/>
      <c r="AK221" s="98"/>
      <c r="AL221" s="98"/>
      <c r="AM221" s="98"/>
      <c r="AN221" s="98"/>
      <c r="AO221" s="98"/>
      <c r="AP221" s="98"/>
      <c r="AQ221" s="98"/>
      <c r="AR221" s="98"/>
      <c r="AS221" s="98"/>
      <c r="AT221" s="98"/>
      <c r="AU221" s="98"/>
      <c r="AV221" s="98"/>
      <c r="AW221" s="98"/>
      <c r="AX221" s="98"/>
      <c r="AY221" s="98"/>
      <c r="AZ221" s="98"/>
      <c r="BA221" s="98"/>
      <c r="BB221" s="98"/>
      <c r="BC221" s="98"/>
      <c r="BD221" s="98"/>
      <c r="BE221" s="98"/>
      <c r="BF221" s="98"/>
      <c r="BG221" s="98"/>
      <c r="BH221" s="98"/>
      <c r="BI221" s="98"/>
      <c r="BJ221" s="98"/>
      <c r="BK221" s="98"/>
      <c r="BL221" s="98"/>
      <c r="BM221" s="98"/>
      <c r="BN221" s="98"/>
      <c r="BO221" s="98"/>
      <c r="BP221" s="98"/>
      <c r="BQ221" s="98"/>
      <c r="BR221" s="98"/>
      <c r="BS221" s="98"/>
      <c r="BT221" s="98"/>
      <c r="BU221" s="98"/>
      <c r="BV221" s="98"/>
      <c r="BW221" s="98"/>
      <c r="BX221" s="98"/>
      <c r="BY221" s="98"/>
      <c r="BZ221" s="98"/>
      <c r="CA221" s="98"/>
    </row>
    <row r="222" ht="15.75" customHeight="1">
      <c r="A222" s="98"/>
      <c r="B222" s="98"/>
      <c r="C222" s="98"/>
      <c r="D222" s="98"/>
      <c r="E222" s="98"/>
      <c r="F222" s="98"/>
      <c r="G222" s="98"/>
      <c r="H222" s="98"/>
      <c r="I222" s="99"/>
      <c r="J222" s="99"/>
      <c r="K222" s="99"/>
      <c r="L222" s="99"/>
      <c r="M222" s="99"/>
      <c r="N222" s="99"/>
      <c r="O222" s="99"/>
      <c r="P222" s="99"/>
      <c r="Q222" s="99"/>
      <c r="R222" s="99"/>
      <c r="S222" s="98"/>
      <c r="T222" s="98"/>
      <c r="U222" s="98"/>
      <c r="V222" s="98"/>
      <c r="W222" s="98"/>
      <c r="X222" s="98"/>
      <c r="Y222" s="98"/>
      <c r="Z222" s="98"/>
      <c r="AA222" s="98"/>
      <c r="AB222" s="98"/>
      <c r="AC222" s="98"/>
      <c r="AD222" s="98"/>
      <c r="AE222" s="98"/>
      <c r="AF222" s="98"/>
      <c r="AG222" s="98"/>
      <c r="AH222" s="98"/>
      <c r="AI222" s="98"/>
      <c r="AJ222" s="98"/>
      <c r="AK222" s="98"/>
      <c r="AL222" s="98"/>
      <c r="AM222" s="98"/>
      <c r="AN222" s="98"/>
      <c r="AO222" s="98"/>
      <c r="AP222" s="98"/>
      <c r="AQ222" s="98"/>
      <c r="AR222" s="98"/>
      <c r="AS222" s="98"/>
      <c r="AT222" s="98"/>
      <c r="AU222" s="98"/>
      <c r="AV222" s="98"/>
      <c r="AW222" s="98"/>
      <c r="AX222" s="98"/>
      <c r="AY222" s="98"/>
      <c r="AZ222" s="98"/>
      <c r="BA222" s="98"/>
      <c r="BB222" s="98"/>
      <c r="BC222" s="98"/>
      <c r="BD222" s="98"/>
      <c r="BE222" s="98"/>
      <c r="BF222" s="98"/>
      <c r="BG222" s="98"/>
      <c r="BH222" s="98"/>
      <c r="BI222" s="98"/>
      <c r="BJ222" s="98"/>
      <c r="BK222" s="98"/>
      <c r="BL222" s="98"/>
      <c r="BM222" s="98"/>
      <c r="BN222" s="98"/>
      <c r="BO222" s="98"/>
      <c r="BP222" s="98"/>
      <c r="BQ222" s="98"/>
      <c r="BR222" s="98"/>
      <c r="BS222" s="98"/>
      <c r="BT222" s="98"/>
      <c r="BU222" s="98"/>
      <c r="BV222" s="98"/>
      <c r="BW222" s="98"/>
      <c r="BX222" s="98"/>
      <c r="BY222" s="98"/>
      <c r="BZ222" s="98"/>
      <c r="CA222" s="98"/>
    </row>
    <row r="223" ht="15.75" customHeight="1">
      <c r="A223" s="98"/>
      <c r="B223" s="98"/>
      <c r="C223" s="98"/>
      <c r="D223" s="98"/>
      <c r="E223" s="98"/>
      <c r="F223" s="98"/>
      <c r="G223" s="98"/>
      <c r="H223" s="98"/>
      <c r="I223" s="99"/>
      <c r="J223" s="99"/>
      <c r="K223" s="99"/>
      <c r="L223" s="99"/>
      <c r="M223" s="99"/>
      <c r="N223" s="99"/>
      <c r="O223" s="99"/>
      <c r="P223" s="99"/>
      <c r="Q223" s="99"/>
      <c r="R223" s="99"/>
      <c r="S223" s="98"/>
      <c r="T223" s="98"/>
      <c r="U223" s="98"/>
      <c r="V223" s="98"/>
      <c r="W223" s="98"/>
      <c r="X223" s="98"/>
      <c r="Y223" s="98"/>
      <c r="Z223" s="98"/>
      <c r="AA223" s="98"/>
      <c r="AB223" s="98"/>
      <c r="AC223" s="98"/>
      <c r="AD223" s="98"/>
      <c r="AE223" s="98"/>
      <c r="AF223" s="98"/>
      <c r="AG223" s="98"/>
      <c r="AH223" s="98"/>
      <c r="AI223" s="98"/>
      <c r="AJ223" s="98"/>
      <c r="AK223" s="98"/>
      <c r="AL223" s="98"/>
      <c r="AM223" s="98"/>
      <c r="AN223" s="98"/>
      <c r="AO223" s="98"/>
      <c r="AP223" s="98"/>
      <c r="AQ223" s="98"/>
      <c r="AR223" s="98"/>
      <c r="AS223" s="98"/>
      <c r="AT223" s="98"/>
      <c r="AU223" s="98"/>
      <c r="AV223" s="98"/>
      <c r="AW223" s="98"/>
      <c r="AX223" s="98"/>
      <c r="AY223" s="98"/>
      <c r="AZ223" s="98"/>
      <c r="BA223" s="98"/>
      <c r="BB223" s="98"/>
      <c r="BC223" s="98"/>
      <c r="BD223" s="98"/>
      <c r="BE223" s="98"/>
      <c r="BF223" s="98"/>
      <c r="BG223" s="98"/>
      <c r="BH223" s="98"/>
      <c r="BI223" s="98"/>
      <c r="BJ223" s="98"/>
      <c r="BK223" s="98"/>
      <c r="BL223" s="98"/>
      <c r="BM223" s="98"/>
      <c r="BN223" s="98"/>
      <c r="BO223" s="98"/>
      <c r="BP223" s="98"/>
      <c r="BQ223" s="98"/>
      <c r="BR223" s="98"/>
      <c r="BS223" s="98"/>
      <c r="BT223" s="98"/>
      <c r="BU223" s="98"/>
      <c r="BV223" s="98"/>
      <c r="BW223" s="98"/>
      <c r="BX223" s="98"/>
      <c r="BY223" s="98"/>
      <c r="BZ223" s="98"/>
      <c r="CA223" s="98"/>
    </row>
    <row r="224" ht="15.75" customHeight="1">
      <c r="A224" s="98"/>
      <c r="B224" s="98"/>
      <c r="C224" s="98"/>
      <c r="D224" s="98"/>
      <c r="E224" s="98"/>
      <c r="F224" s="98"/>
      <c r="G224" s="98"/>
      <c r="H224" s="98"/>
      <c r="I224" s="99"/>
      <c r="J224" s="99"/>
      <c r="K224" s="99"/>
      <c r="L224" s="99"/>
      <c r="M224" s="99"/>
      <c r="N224" s="99"/>
      <c r="O224" s="99"/>
      <c r="P224" s="99"/>
      <c r="Q224" s="99"/>
      <c r="R224" s="99"/>
      <c r="S224" s="98"/>
      <c r="T224" s="98"/>
      <c r="U224" s="98"/>
      <c r="V224" s="98"/>
      <c r="W224" s="98"/>
      <c r="X224" s="98"/>
      <c r="Y224" s="98"/>
      <c r="Z224" s="98"/>
      <c r="AA224" s="98"/>
      <c r="AB224" s="98"/>
      <c r="AC224" s="98"/>
      <c r="AD224" s="98"/>
      <c r="AE224" s="98"/>
      <c r="AF224" s="98"/>
      <c r="AG224" s="98"/>
      <c r="AH224" s="98"/>
      <c r="AI224" s="98"/>
      <c r="AJ224" s="98"/>
      <c r="AK224" s="98"/>
      <c r="AL224" s="98"/>
      <c r="AM224" s="98"/>
      <c r="AN224" s="98"/>
      <c r="AO224" s="98"/>
      <c r="AP224" s="98"/>
      <c r="AQ224" s="98"/>
      <c r="AR224" s="98"/>
      <c r="AS224" s="98"/>
      <c r="AT224" s="98"/>
      <c r="AU224" s="98"/>
      <c r="AV224" s="98"/>
      <c r="AW224" s="98"/>
      <c r="AX224" s="98"/>
      <c r="AY224" s="98"/>
      <c r="AZ224" s="98"/>
      <c r="BA224" s="98"/>
      <c r="BB224" s="98"/>
      <c r="BC224" s="98"/>
      <c r="BD224" s="98"/>
      <c r="BE224" s="98"/>
      <c r="BF224" s="98"/>
      <c r="BG224" s="98"/>
      <c r="BH224" s="98"/>
      <c r="BI224" s="98"/>
      <c r="BJ224" s="98"/>
      <c r="BK224" s="98"/>
      <c r="BL224" s="98"/>
      <c r="BM224" s="98"/>
      <c r="BN224" s="98"/>
      <c r="BO224" s="98"/>
      <c r="BP224" s="98"/>
      <c r="BQ224" s="98"/>
      <c r="BR224" s="98"/>
      <c r="BS224" s="98"/>
      <c r="BT224" s="98"/>
      <c r="BU224" s="98"/>
      <c r="BV224" s="98"/>
      <c r="BW224" s="98"/>
      <c r="BX224" s="98"/>
      <c r="BY224" s="98"/>
      <c r="BZ224" s="98"/>
      <c r="CA224" s="98"/>
    </row>
    <row r="225" ht="15.75" customHeight="1">
      <c r="A225" s="98"/>
      <c r="B225" s="98"/>
      <c r="C225" s="98"/>
      <c r="D225" s="98"/>
      <c r="E225" s="98"/>
      <c r="F225" s="98"/>
      <c r="G225" s="98"/>
      <c r="H225" s="98"/>
      <c r="I225" s="99"/>
      <c r="J225" s="99"/>
      <c r="K225" s="99"/>
      <c r="L225" s="99"/>
      <c r="M225" s="99"/>
      <c r="N225" s="99"/>
      <c r="O225" s="99"/>
      <c r="P225" s="99"/>
      <c r="Q225" s="99"/>
      <c r="R225" s="99"/>
      <c r="S225" s="98"/>
      <c r="T225" s="98"/>
      <c r="U225" s="98"/>
      <c r="V225" s="98"/>
      <c r="W225" s="98"/>
      <c r="X225" s="98"/>
      <c r="Y225" s="98"/>
      <c r="Z225" s="98"/>
      <c r="AA225" s="98"/>
      <c r="AB225" s="98"/>
      <c r="AC225" s="98"/>
      <c r="AD225" s="98"/>
      <c r="AE225" s="98"/>
      <c r="AF225" s="98"/>
      <c r="AG225" s="98"/>
      <c r="AH225" s="98"/>
      <c r="AI225" s="98"/>
      <c r="AJ225" s="98"/>
      <c r="AK225" s="98"/>
      <c r="AL225" s="98"/>
      <c r="AM225" s="98"/>
      <c r="AN225" s="98"/>
      <c r="AO225" s="98"/>
      <c r="AP225" s="98"/>
      <c r="AQ225" s="98"/>
      <c r="AR225" s="98"/>
      <c r="AS225" s="98"/>
      <c r="AT225" s="98"/>
      <c r="AU225" s="98"/>
      <c r="AV225" s="98"/>
      <c r="AW225" s="98"/>
      <c r="AX225" s="98"/>
      <c r="AY225" s="98"/>
      <c r="AZ225" s="98"/>
      <c r="BA225" s="98"/>
      <c r="BB225" s="98"/>
      <c r="BC225" s="98"/>
      <c r="BD225" s="98"/>
      <c r="BE225" s="98"/>
      <c r="BF225" s="98"/>
      <c r="BG225" s="98"/>
      <c r="BH225" s="98"/>
      <c r="BI225" s="98"/>
      <c r="BJ225" s="98"/>
      <c r="BK225" s="98"/>
      <c r="BL225" s="98"/>
      <c r="BM225" s="98"/>
      <c r="BN225" s="98"/>
      <c r="BO225" s="98"/>
      <c r="BP225" s="98"/>
      <c r="BQ225" s="98"/>
      <c r="BR225" s="98"/>
      <c r="BS225" s="98"/>
      <c r="BT225" s="98"/>
      <c r="BU225" s="98"/>
      <c r="BV225" s="98"/>
      <c r="BW225" s="98"/>
      <c r="BX225" s="98"/>
      <c r="BY225" s="98"/>
      <c r="BZ225" s="98"/>
      <c r="CA225" s="98"/>
    </row>
    <row r="226" ht="15.75" customHeight="1">
      <c r="A226" s="98"/>
      <c r="B226" s="98"/>
      <c r="C226" s="98"/>
      <c r="D226" s="98"/>
      <c r="E226" s="98"/>
      <c r="F226" s="98"/>
      <c r="G226" s="98"/>
      <c r="H226" s="98"/>
      <c r="I226" s="99"/>
      <c r="J226" s="99"/>
      <c r="K226" s="99"/>
      <c r="L226" s="99"/>
      <c r="M226" s="99"/>
      <c r="N226" s="99"/>
      <c r="O226" s="99"/>
      <c r="P226" s="99"/>
      <c r="Q226" s="99"/>
      <c r="R226" s="99"/>
      <c r="S226" s="98"/>
      <c r="T226" s="98"/>
      <c r="U226" s="98"/>
      <c r="V226" s="98"/>
      <c r="W226" s="98"/>
      <c r="X226" s="98"/>
      <c r="Y226" s="98"/>
      <c r="Z226" s="98"/>
      <c r="AA226" s="98"/>
      <c r="AB226" s="98"/>
      <c r="AC226" s="98"/>
      <c r="AD226" s="98"/>
      <c r="AE226" s="98"/>
      <c r="AF226" s="98"/>
      <c r="AG226" s="98"/>
      <c r="AH226" s="98"/>
      <c r="AI226" s="98"/>
      <c r="AJ226" s="98"/>
      <c r="AK226" s="98"/>
      <c r="AL226" s="98"/>
      <c r="AM226" s="98"/>
      <c r="AN226" s="98"/>
      <c r="AO226" s="98"/>
      <c r="AP226" s="98"/>
      <c r="AQ226" s="98"/>
      <c r="AR226" s="98"/>
      <c r="AS226" s="98"/>
      <c r="AT226" s="98"/>
      <c r="AU226" s="98"/>
      <c r="AV226" s="98"/>
      <c r="AW226" s="98"/>
      <c r="AX226" s="98"/>
      <c r="AY226" s="98"/>
      <c r="AZ226" s="98"/>
      <c r="BA226" s="98"/>
      <c r="BB226" s="98"/>
      <c r="BC226" s="98"/>
      <c r="BD226" s="98"/>
      <c r="BE226" s="98"/>
      <c r="BF226" s="98"/>
      <c r="BG226" s="98"/>
      <c r="BH226" s="98"/>
      <c r="BI226" s="98"/>
      <c r="BJ226" s="98"/>
      <c r="BK226" s="98"/>
      <c r="BL226" s="98"/>
      <c r="BM226" s="98"/>
      <c r="BN226" s="98"/>
      <c r="BO226" s="98"/>
      <c r="BP226" s="98"/>
      <c r="BQ226" s="98"/>
      <c r="BR226" s="98"/>
      <c r="BS226" s="98"/>
      <c r="BT226" s="98"/>
      <c r="BU226" s="98"/>
      <c r="BV226" s="98"/>
      <c r="BW226" s="98"/>
      <c r="BX226" s="98"/>
      <c r="BY226" s="98"/>
      <c r="BZ226" s="98"/>
      <c r="CA226" s="98"/>
    </row>
    <row r="227" ht="15.75" customHeight="1">
      <c r="A227" s="98"/>
      <c r="B227" s="98"/>
      <c r="C227" s="98"/>
      <c r="D227" s="98"/>
      <c r="E227" s="98"/>
      <c r="F227" s="98"/>
      <c r="G227" s="98"/>
      <c r="H227" s="98"/>
      <c r="I227" s="99"/>
      <c r="J227" s="99"/>
      <c r="K227" s="99"/>
      <c r="L227" s="99"/>
      <c r="M227" s="99"/>
      <c r="N227" s="99"/>
      <c r="O227" s="99"/>
      <c r="P227" s="99"/>
      <c r="Q227" s="99"/>
      <c r="R227" s="99"/>
      <c r="S227" s="98"/>
      <c r="T227" s="98"/>
      <c r="U227" s="98"/>
      <c r="V227" s="98"/>
      <c r="W227" s="98"/>
      <c r="X227" s="98"/>
      <c r="Y227" s="98"/>
      <c r="Z227" s="98"/>
      <c r="AA227" s="98"/>
      <c r="AB227" s="98"/>
      <c r="AC227" s="98"/>
      <c r="AD227" s="98"/>
      <c r="AE227" s="98"/>
      <c r="AF227" s="98"/>
      <c r="AG227" s="98"/>
      <c r="AH227" s="98"/>
      <c r="AI227" s="98"/>
      <c r="AJ227" s="98"/>
      <c r="AK227" s="98"/>
      <c r="AL227" s="98"/>
      <c r="AM227" s="98"/>
      <c r="AN227" s="98"/>
      <c r="AO227" s="98"/>
      <c r="AP227" s="98"/>
      <c r="AQ227" s="98"/>
      <c r="AR227" s="98"/>
      <c r="AS227" s="98"/>
      <c r="AT227" s="98"/>
      <c r="AU227" s="98"/>
      <c r="AV227" s="98"/>
      <c r="AW227" s="98"/>
      <c r="AX227" s="98"/>
      <c r="AY227" s="98"/>
      <c r="AZ227" s="98"/>
      <c r="BA227" s="98"/>
      <c r="BB227" s="98"/>
      <c r="BC227" s="98"/>
      <c r="BD227" s="98"/>
      <c r="BE227" s="98"/>
      <c r="BF227" s="98"/>
      <c r="BG227" s="98"/>
      <c r="BH227" s="98"/>
      <c r="BI227" s="98"/>
      <c r="BJ227" s="98"/>
      <c r="BK227" s="98"/>
      <c r="BL227" s="98"/>
      <c r="BM227" s="98"/>
      <c r="BN227" s="98"/>
      <c r="BO227" s="98"/>
      <c r="BP227" s="98"/>
      <c r="BQ227" s="98"/>
      <c r="BR227" s="98"/>
      <c r="BS227" s="98"/>
      <c r="BT227" s="98"/>
      <c r="BU227" s="98"/>
      <c r="BV227" s="98"/>
      <c r="BW227" s="98"/>
      <c r="BX227" s="98"/>
      <c r="BY227" s="98"/>
      <c r="BZ227" s="98"/>
      <c r="CA227" s="98"/>
    </row>
    <row r="228" ht="15.75" customHeight="1">
      <c r="A228" s="98"/>
      <c r="B228" s="98"/>
      <c r="C228" s="98"/>
      <c r="D228" s="98"/>
      <c r="E228" s="98"/>
      <c r="F228" s="98"/>
      <c r="G228" s="98"/>
      <c r="H228" s="98"/>
      <c r="I228" s="99"/>
      <c r="J228" s="99"/>
      <c r="K228" s="99"/>
      <c r="L228" s="99"/>
      <c r="M228" s="99"/>
      <c r="N228" s="99"/>
      <c r="O228" s="99"/>
      <c r="P228" s="99"/>
      <c r="Q228" s="99"/>
      <c r="R228" s="99"/>
      <c r="S228" s="98"/>
      <c r="T228" s="98"/>
      <c r="U228" s="98"/>
      <c r="V228" s="98"/>
      <c r="W228" s="98"/>
      <c r="X228" s="98"/>
      <c r="Y228" s="98"/>
      <c r="Z228" s="98"/>
      <c r="AA228" s="98"/>
      <c r="AB228" s="98"/>
      <c r="AC228" s="98"/>
      <c r="AD228" s="98"/>
      <c r="AE228" s="98"/>
      <c r="AF228" s="98"/>
      <c r="AG228" s="98"/>
      <c r="AH228" s="98"/>
      <c r="AI228" s="98"/>
      <c r="AJ228" s="98"/>
      <c r="AK228" s="98"/>
      <c r="AL228" s="98"/>
      <c r="AM228" s="98"/>
      <c r="AN228" s="98"/>
      <c r="AO228" s="98"/>
      <c r="AP228" s="98"/>
      <c r="AQ228" s="98"/>
      <c r="AR228" s="98"/>
      <c r="AS228" s="98"/>
      <c r="AT228" s="98"/>
      <c r="AU228" s="98"/>
      <c r="AV228" s="98"/>
      <c r="AW228" s="98"/>
      <c r="AX228" s="98"/>
      <c r="AY228" s="98"/>
      <c r="AZ228" s="98"/>
      <c r="BA228" s="98"/>
      <c r="BB228" s="98"/>
      <c r="BC228" s="98"/>
      <c r="BD228" s="98"/>
      <c r="BE228" s="98"/>
      <c r="BF228" s="98"/>
      <c r="BG228" s="98"/>
      <c r="BH228" s="98"/>
      <c r="BI228" s="98"/>
      <c r="BJ228" s="98"/>
      <c r="BK228" s="98"/>
      <c r="BL228" s="98"/>
      <c r="BM228" s="98"/>
      <c r="BN228" s="98"/>
      <c r="BO228" s="98"/>
      <c r="BP228" s="98"/>
      <c r="BQ228" s="98"/>
      <c r="BR228" s="98"/>
      <c r="BS228" s="98"/>
      <c r="BT228" s="98"/>
      <c r="BU228" s="98"/>
      <c r="BV228" s="98"/>
      <c r="BW228" s="98"/>
      <c r="BX228" s="98"/>
      <c r="BY228" s="98"/>
      <c r="BZ228" s="98"/>
      <c r="CA228" s="98"/>
    </row>
    <row r="229" ht="15.75" customHeight="1">
      <c r="A229" s="98"/>
      <c r="B229" s="98"/>
      <c r="C229" s="98"/>
      <c r="D229" s="98"/>
      <c r="E229" s="98"/>
      <c r="F229" s="98"/>
      <c r="G229" s="98"/>
      <c r="H229" s="98"/>
      <c r="I229" s="99"/>
      <c r="J229" s="99"/>
      <c r="K229" s="99"/>
      <c r="L229" s="99"/>
      <c r="M229" s="99"/>
      <c r="N229" s="99"/>
      <c r="O229" s="99"/>
      <c r="P229" s="99"/>
      <c r="Q229" s="99"/>
      <c r="R229" s="99"/>
      <c r="S229" s="98"/>
      <c r="T229" s="98"/>
      <c r="U229" s="98"/>
      <c r="V229" s="98"/>
      <c r="W229" s="98"/>
      <c r="X229" s="98"/>
      <c r="Y229" s="98"/>
      <c r="Z229" s="98"/>
      <c r="AA229" s="98"/>
      <c r="AB229" s="98"/>
      <c r="AC229" s="98"/>
      <c r="AD229" s="98"/>
      <c r="AE229" s="98"/>
      <c r="AF229" s="98"/>
      <c r="AG229" s="98"/>
      <c r="AH229" s="98"/>
      <c r="AI229" s="98"/>
      <c r="AJ229" s="98"/>
      <c r="AK229" s="98"/>
      <c r="AL229" s="98"/>
      <c r="AM229" s="98"/>
      <c r="AN229" s="98"/>
      <c r="AO229" s="98"/>
      <c r="AP229" s="98"/>
      <c r="AQ229" s="98"/>
      <c r="AR229" s="98"/>
      <c r="AS229" s="98"/>
      <c r="AT229" s="98"/>
      <c r="AU229" s="98"/>
      <c r="AV229" s="98"/>
      <c r="AW229" s="98"/>
      <c r="AX229" s="98"/>
      <c r="AY229" s="98"/>
      <c r="AZ229" s="98"/>
      <c r="BA229" s="98"/>
      <c r="BB229" s="98"/>
      <c r="BC229" s="98"/>
      <c r="BD229" s="98"/>
      <c r="BE229" s="98"/>
      <c r="BF229" s="98"/>
      <c r="BG229" s="98"/>
      <c r="BH229" s="98"/>
      <c r="BI229" s="98"/>
      <c r="BJ229" s="98"/>
      <c r="BK229" s="98"/>
      <c r="BL229" s="98"/>
      <c r="BM229" s="98"/>
      <c r="BN229" s="98"/>
      <c r="BO229" s="98"/>
      <c r="BP229" s="98"/>
      <c r="BQ229" s="98"/>
      <c r="BR229" s="98"/>
      <c r="BS229" s="98"/>
      <c r="BT229" s="98"/>
      <c r="BU229" s="98"/>
      <c r="BV229" s="98"/>
      <c r="BW229" s="98"/>
      <c r="BX229" s="98"/>
      <c r="BY229" s="98"/>
      <c r="BZ229" s="98"/>
      <c r="CA229" s="98"/>
    </row>
    <row r="230" ht="15.75" customHeight="1">
      <c r="A230" s="98"/>
      <c r="B230" s="98"/>
      <c r="C230" s="98"/>
      <c r="D230" s="98"/>
      <c r="E230" s="98"/>
      <c r="F230" s="98"/>
      <c r="G230" s="98"/>
      <c r="H230" s="98"/>
      <c r="I230" s="99"/>
      <c r="J230" s="99"/>
      <c r="K230" s="99"/>
      <c r="L230" s="99"/>
      <c r="M230" s="99"/>
      <c r="N230" s="99"/>
      <c r="O230" s="99"/>
      <c r="P230" s="99"/>
      <c r="Q230" s="99"/>
      <c r="R230" s="99"/>
      <c r="S230" s="98"/>
      <c r="T230" s="98"/>
      <c r="U230" s="98"/>
      <c r="V230" s="98"/>
      <c r="W230" s="98"/>
      <c r="X230" s="98"/>
      <c r="Y230" s="98"/>
      <c r="Z230" s="98"/>
      <c r="AA230" s="98"/>
      <c r="AB230" s="98"/>
      <c r="AC230" s="98"/>
      <c r="AD230" s="98"/>
      <c r="AE230" s="98"/>
      <c r="AF230" s="98"/>
      <c r="AG230" s="98"/>
      <c r="AH230" s="98"/>
      <c r="AI230" s="98"/>
      <c r="AJ230" s="98"/>
      <c r="AK230" s="98"/>
      <c r="AL230" s="98"/>
      <c r="AM230" s="98"/>
      <c r="AN230" s="98"/>
      <c r="AO230" s="98"/>
      <c r="AP230" s="98"/>
      <c r="AQ230" s="98"/>
      <c r="AR230" s="98"/>
      <c r="AS230" s="98"/>
      <c r="AT230" s="98"/>
      <c r="AU230" s="98"/>
      <c r="AV230" s="98"/>
      <c r="AW230" s="98"/>
      <c r="AX230" s="98"/>
      <c r="AY230" s="98"/>
      <c r="AZ230" s="98"/>
      <c r="BA230" s="98"/>
      <c r="BB230" s="98"/>
      <c r="BC230" s="98"/>
      <c r="BD230" s="98"/>
      <c r="BE230" s="98"/>
      <c r="BF230" s="98"/>
      <c r="BG230" s="98"/>
      <c r="BH230" s="98"/>
      <c r="BI230" s="98"/>
      <c r="BJ230" s="98"/>
      <c r="BK230" s="98"/>
      <c r="BL230" s="98"/>
      <c r="BM230" s="98"/>
      <c r="BN230" s="98"/>
      <c r="BO230" s="98"/>
      <c r="BP230" s="98"/>
      <c r="BQ230" s="98"/>
      <c r="BR230" s="98"/>
      <c r="BS230" s="98"/>
      <c r="BT230" s="98"/>
      <c r="BU230" s="98"/>
      <c r="BV230" s="98"/>
      <c r="BW230" s="98"/>
      <c r="BX230" s="98"/>
      <c r="BY230" s="98"/>
      <c r="BZ230" s="98"/>
      <c r="CA230" s="98"/>
    </row>
    <row r="231" ht="15.75" customHeight="1">
      <c r="A231" s="98"/>
      <c r="B231" s="98"/>
      <c r="C231" s="98"/>
      <c r="D231" s="98"/>
      <c r="E231" s="98"/>
      <c r="F231" s="98"/>
      <c r="G231" s="98"/>
      <c r="H231" s="98"/>
      <c r="I231" s="99"/>
      <c r="J231" s="99"/>
      <c r="K231" s="99"/>
      <c r="L231" s="99"/>
      <c r="M231" s="99"/>
      <c r="N231" s="99"/>
      <c r="O231" s="99"/>
      <c r="P231" s="99"/>
      <c r="Q231" s="99"/>
      <c r="R231" s="99"/>
      <c r="S231" s="98"/>
      <c r="T231" s="98"/>
      <c r="U231" s="98"/>
      <c r="V231" s="98"/>
      <c r="W231" s="98"/>
      <c r="X231" s="98"/>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98"/>
      <c r="AW231" s="98"/>
      <c r="AX231" s="98"/>
      <c r="AY231" s="98"/>
      <c r="AZ231" s="98"/>
      <c r="BA231" s="98"/>
      <c r="BB231" s="98"/>
      <c r="BC231" s="98"/>
      <c r="BD231" s="98"/>
      <c r="BE231" s="98"/>
      <c r="BF231" s="98"/>
      <c r="BG231" s="98"/>
      <c r="BH231" s="98"/>
      <c r="BI231" s="98"/>
      <c r="BJ231" s="98"/>
      <c r="BK231" s="98"/>
      <c r="BL231" s="98"/>
      <c r="BM231" s="98"/>
      <c r="BN231" s="98"/>
      <c r="BO231" s="98"/>
      <c r="BP231" s="98"/>
      <c r="BQ231" s="98"/>
      <c r="BR231" s="98"/>
      <c r="BS231" s="98"/>
      <c r="BT231" s="98"/>
      <c r="BU231" s="98"/>
      <c r="BV231" s="98"/>
      <c r="BW231" s="98"/>
      <c r="BX231" s="98"/>
      <c r="BY231" s="98"/>
      <c r="BZ231" s="98"/>
      <c r="CA231" s="98"/>
    </row>
    <row r="232" ht="15.75" customHeight="1">
      <c r="A232" s="98"/>
      <c r="B232" s="98"/>
      <c r="C232" s="98"/>
      <c r="D232" s="98"/>
      <c r="E232" s="98"/>
      <c r="F232" s="98"/>
      <c r="G232" s="98"/>
      <c r="H232" s="98"/>
      <c r="I232" s="99"/>
      <c r="J232" s="99"/>
      <c r="K232" s="99"/>
      <c r="L232" s="99"/>
      <c r="M232" s="99"/>
      <c r="N232" s="99"/>
      <c r="O232" s="99"/>
      <c r="P232" s="99"/>
      <c r="Q232" s="99"/>
      <c r="R232" s="99"/>
      <c r="S232" s="98"/>
      <c r="T232" s="98"/>
      <c r="U232" s="98"/>
      <c r="V232" s="98"/>
      <c r="W232" s="98"/>
      <c r="X232" s="98"/>
      <c r="Y232" s="98"/>
      <c r="Z232" s="98"/>
      <c r="AA232" s="98"/>
      <c r="AB232" s="98"/>
      <c r="AC232" s="98"/>
      <c r="AD232" s="98"/>
      <c r="AE232" s="98"/>
      <c r="AF232" s="98"/>
      <c r="AG232" s="98"/>
      <c r="AH232" s="98"/>
      <c r="AI232" s="98"/>
      <c r="AJ232" s="98"/>
      <c r="AK232" s="98"/>
      <c r="AL232" s="98"/>
      <c r="AM232" s="98"/>
      <c r="AN232" s="98"/>
      <c r="AO232" s="98"/>
      <c r="AP232" s="98"/>
      <c r="AQ232" s="98"/>
      <c r="AR232" s="98"/>
      <c r="AS232" s="98"/>
      <c r="AT232" s="98"/>
      <c r="AU232" s="98"/>
      <c r="AV232" s="98"/>
      <c r="AW232" s="98"/>
      <c r="AX232" s="98"/>
      <c r="AY232" s="98"/>
      <c r="AZ232" s="98"/>
      <c r="BA232" s="98"/>
      <c r="BB232" s="98"/>
      <c r="BC232" s="98"/>
      <c r="BD232" s="98"/>
      <c r="BE232" s="98"/>
      <c r="BF232" s="98"/>
      <c r="BG232" s="98"/>
      <c r="BH232" s="98"/>
      <c r="BI232" s="98"/>
      <c r="BJ232" s="98"/>
      <c r="BK232" s="98"/>
      <c r="BL232" s="98"/>
      <c r="BM232" s="98"/>
      <c r="BN232" s="98"/>
      <c r="BO232" s="98"/>
      <c r="BP232" s="98"/>
      <c r="BQ232" s="98"/>
      <c r="BR232" s="98"/>
      <c r="BS232" s="98"/>
      <c r="BT232" s="98"/>
      <c r="BU232" s="98"/>
      <c r="BV232" s="98"/>
      <c r="BW232" s="98"/>
      <c r="BX232" s="98"/>
      <c r="BY232" s="98"/>
      <c r="BZ232" s="98"/>
      <c r="CA232" s="98"/>
    </row>
    <row r="233" ht="15.75" customHeight="1">
      <c r="A233" s="98"/>
      <c r="B233" s="98"/>
      <c r="C233" s="98"/>
      <c r="D233" s="98"/>
      <c r="E233" s="98"/>
      <c r="F233" s="98"/>
      <c r="G233" s="98"/>
      <c r="H233" s="98"/>
      <c r="I233" s="99"/>
      <c r="J233" s="99"/>
      <c r="K233" s="99"/>
      <c r="L233" s="99"/>
      <c r="M233" s="99"/>
      <c r="N233" s="99"/>
      <c r="O233" s="99"/>
      <c r="P233" s="99"/>
      <c r="Q233" s="99"/>
      <c r="R233" s="99"/>
      <c r="S233" s="98"/>
      <c r="T233" s="98"/>
      <c r="U233" s="98"/>
      <c r="V233" s="98"/>
      <c r="W233" s="98"/>
      <c r="X233" s="98"/>
      <c r="Y233" s="98"/>
      <c r="Z233" s="98"/>
      <c r="AA233" s="98"/>
      <c r="AB233" s="98"/>
      <c r="AC233" s="98"/>
      <c r="AD233" s="98"/>
      <c r="AE233" s="98"/>
      <c r="AF233" s="98"/>
      <c r="AG233" s="98"/>
      <c r="AH233" s="98"/>
      <c r="AI233" s="98"/>
      <c r="AJ233" s="98"/>
      <c r="AK233" s="98"/>
      <c r="AL233" s="98"/>
      <c r="AM233" s="98"/>
      <c r="AN233" s="98"/>
      <c r="AO233" s="98"/>
      <c r="AP233" s="98"/>
      <c r="AQ233" s="98"/>
      <c r="AR233" s="98"/>
      <c r="AS233" s="98"/>
      <c r="AT233" s="98"/>
      <c r="AU233" s="98"/>
      <c r="AV233" s="98"/>
      <c r="AW233" s="98"/>
      <c r="AX233" s="98"/>
      <c r="AY233" s="98"/>
      <c r="AZ233" s="98"/>
      <c r="BA233" s="98"/>
      <c r="BB233" s="98"/>
      <c r="BC233" s="98"/>
      <c r="BD233" s="98"/>
      <c r="BE233" s="98"/>
      <c r="BF233" s="98"/>
      <c r="BG233" s="98"/>
      <c r="BH233" s="98"/>
      <c r="BI233" s="98"/>
      <c r="BJ233" s="98"/>
      <c r="BK233" s="98"/>
      <c r="BL233" s="98"/>
      <c r="BM233" s="98"/>
      <c r="BN233" s="98"/>
      <c r="BO233" s="98"/>
      <c r="BP233" s="98"/>
      <c r="BQ233" s="98"/>
      <c r="BR233" s="98"/>
      <c r="BS233" s="98"/>
      <c r="BT233" s="98"/>
      <c r="BU233" s="98"/>
      <c r="BV233" s="98"/>
      <c r="BW233" s="98"/>
      <c r="BX233" s="98"/>
      <c r="BY233" s="98"/>
      <c r="BZ233" s="98"/>
      <c r="CA233" s="98"/>
    </row>
    <row r="234" ht="15.75" customHeight="1">
      <c r="A234" s="98"/>
      <c r="B234" s="98"/>
      <c r="C234" s="98"/>
      <c r="D234" s="98"/>
      <c r="E234" s="98"/>
      <c r="F234" s="98"/>
      <c r="G234" s="98"/>
      <c r="H234" s="98"/>
      <c r="I234" s="99"/>
      <c r="J234" s="99"/>
      <c r="K234" s="99"/>
      <c r="L234" s="99"/>
      <c r="M234" s="99"/>
      <c r="N234" s="99"/>
      <c r="O234" s="99"/>
      <c r="P234" s="99"/>
      <c r="Q234" s="99"/>
      <c r="R234" s="99"/>
      <c r="S234" s="98"/>
      <c r="T234" s="98"/>
      <c r="U234" s="98"/>
      <c r="V234" s="98"/>
      <c r="W234" s="98"/>
      <c r="X234" s="98"/>
      <c r="Y234" s="98"/>
      <c r="Z234" s="98"/>
      <c r="AA234" s="98"/>
      <c r="AB234" s="98"/>
      <c r="AC234" s="98"/>
      <c r="AD234" s="98"/>
      <c r="AE234" s="98"/>
      <c r="AF234" s="98"/>
      <c r="AG234" s="98"/>
      <c r="AH234" s="98"/>
      <c r="AI234" s="98"/>
      <c r="AJ234" s="98"/>
      <c r="AK234" s="98"/>
      <c r="AL234" s="98"/>
      <c r="AM234" s="98"/>
      <c r="AN234" s="98"/>
      <c r="AO234" s="98"/>
      <c r="AP234" s="98"/>
      <c r="AQ234" s="98"/>
      <c r="AR234" s="98"/>
      <c r="AS234" s="98"/>
      <c r="AT234" s="98"/>
      <c r="AU234" s="98"/>
      <c r="AV234" s="98"/>
      <c r="AW234" s="98"/>
      <c r="AX234" s="98"/>
      <c r="AY234" s="98"/>
      <c r="AZ234" s="98"/>
      <c r="BA234" s="98"/>
      <c r="BB234" s="98"/>
      <c r="BC234" s="98"/>
      <c r="BD234" s="98"/>
      <c r="BE234" s="98"/>
      <c r="BF234" s="98"/>
      <c r="BG234" s="98"/>
      <c r="BH234" s="98"/>
      <c r="BI234" s="98"/>
      <c r="BJ234" s="98"/>
      <c r="BK234" s="98"/>
      <c r="BL234" s="98"/>
      <c r="BM234" s="98"/>
      <c r="BN234" s="98"/>
      <c r="BO234" s="98"/>
      <c r="BP234" s="98"/>
      <c r="BQ234" s="98"/>
      <c r="BR234" s="98"/>
      <c r="BS234" s="98"/>
      <c r="BT234" s="98"/>
      <c r="BU234" s="98"/>
      <c r="BV234" s="98"/>
      <c r="BW234" s="98"/>
      <c r="BX234" s="98"/>
      <c r="BY234" s="98"/>
      <c r="BZ234" s="98"/>
      <c r="CA234" s="98"/>
    </row>
    <row r="235" ht="15.75" customHeight="1">
      <c r="A235" s="98"/>
      <c r="B235" s="98"/>
      <c r="C235" s="98"/>
      <c r="D235" s="98"/>
      <c r="E235" s="98"/>
      <c r="F235" s="98"/>
      <c r="G235" s="98"/>
      <c r="H235" s="98"/>
      <c r="I235" s="99"/>
      <c r="J235" s="99"/>
      <c r="K235" s="99"/>
      <c r="L235" s="99"/>
      <c r="M235" s="99"/>
      <c r="N235" s="99"/>
      <c r="O235" s="99"/>
      <c r="P235" s="99"/>
      <c r="Q235" s="99"/>
      <c r="R235" s="99"/>
      <c r="S235" s="98"/>
      <c r="T235" s="98"/>
      <c r="U235" s="98"/>
      <c r="V235" s="98"/>
      <c r="W235" s="98"/>
      <c r="X235" s="98"/>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98"/>
      <c r="AW235" s="98"/>
      <c r="AX235" s="98"/>
      <c r="AY235" s="98"/>
      <c r="AZ235" s="98"/>
      <c r="BA235" s="98"/>
      <c r="BB235" s="98"/>
      <c r="BC235" s="98"/>
      <c r="BD235" s="98"/>
      <c r="BE235" s="98"/>
      <c r="BF235" s="98"/>
      <c r="BG235" s="98"/>
      <c r="BH235" s="98"/>
      <c r="BI235" s="98"/>
      <c r="BJ235" s="98"/>
      <c r="BK235" s="98"/>
      <c r="BL235" s="98"/>
      <c r="BM235" s="98"/>
      <c r="BN235" s="98"/>
      <c r="BO235" s="98"/>
      <c r="BP235" s="98"/>
      <c r="BQ235" s="98"/>
      <c r="BR235" s="98"/>
      <c r="BS235" s="98"/>
      <c r="BT235" s="98"/>
      <c r="BU235" s="98"/>
      <c r="BV235" s="98"/>
      <c r="BW235" s="98"/>
      <c r="BX235" s="98"/>
      <c r="BY235" s="98"/>
      <c r="BZ235" s="98"/>
      <c r="CA235" s="98"/>
    </row>
    <row r="236" ht="15.75" customHeight="1">
      <c r="A236" s="98"/>
      <c r="B236" s="98"/>
      <c r="C236" s="98"/>
      <c r="D236" s="98"/>
      <c r="E236" s="98"/>
      <c r="F236" s="98"/>
      <c r="G236" s="98"/>
      <c r="H236" s="98"/>
      <c r="I236" s="99"/>
      <c r="J236" s="99"/>
      <c r="K236" s="99"/>
      <c r="L236" s="99"/>
      <c r="M236" s="99"/>
      <c r="N236" s="99"/>
      <c r="O236" s="99"/>
      <c r="P236" s="99"/>
      <c r="Q236" s="99"/>
      <c r="R236" s="99"/>
      <c r="S236" s="98"/>
      <c r="T236" s="98"/>
      <c r="U236" s="98"/>
      <c r="V236" s="98"/>
      <c r="W236" s="98"/>
      <c r="X236" s="98"/>
      <c r="Y236" s="98"/>
      <c r="Z236" s="98"/>
      <c r="AA236" s="98"/>
      <c r="AB236" s="98"/>
      <c r="AC236" s="98"/>
      <c r="AD236" s="98"/>
      <c r="AE236" s="98"/>
      <c r="AF236" s="98"/>
      <c r="AG236" s="98"/>
      <c r="AH236" s="98"/>
      <c r="AI236" s="98"/>
      <c r="AJ236" s="98"/>
      <c r="AK236" s="98"/>
      <c r="AL236" s="98"/>
      <c r="AM236" s="98"/>
      <c r="AN236" s="98"/>
      <c r="AO236" s="98"/>
      <c r="AP236" s="98"/>
      <c r="AQ236" s="98"/>
      <c r="AR236" s="98"/>
      <c r="AS236" s="98"/>
      <c r="AT236" s="98"/>
      <c r="AU236" s="98"/>
      <c r="AV236" s="98"/>
      <c r="AW236" s="98"/>
      <c r="AX236" s="98"/>
      <c r="AY236" s="98"/>
      <c r="AZ236" s="98"/>
      <c r="BA236" s="98"/>
      <c r="BB236" s="98"/>
      <c r="BC236" s="98"/>
      <c r="BD236" s="98"/>
      <c r="BE236" s="98"/>
      <c r="BF236" s="98"/>
      <c r="BG236" s="98"/>
      <c r="BH236" s="98"/>
      <c r="BI236" s="98"/>
      <c r="BJ236" s="98"/>
      <c r="BK236" s="98"/>
      <c r="BL236" s="98"/>
      <c r="BM236" s="98"/>
      <c r="BN236" s="98"/>
      <c r="BO236" s="98"/>
      <c r="BP236" s="98"/>
      <c r="BQ236" s="98"/>
      <c r="BR236" s="98"/>
      <c r="BS236" s="98"/>
      <c r="BT236" s="98"/>
      <c r="BU236" s="98"/>
      <c r="BV236" s="98"/>
      <c r="BW236" s="98"/>
      <c r="BX236" s="98"/>
      <c r="BY236" s="98"/>
      <c r="BZ236" s="98"/>
      <c r="CA236" s="98"/>
    </row>
    <row r="237" ht="15.75" customHeight="1">
      <c r="A237" s="98"/>
      <c r="B237" s="98"/>
      <c r="C237" s="98"/>
      <c r="D237" s="98"/>
      <c r="E237" s="98"/>
      <c r="F237" s="98"/>
      <c r="G237" s="98"/>
      <c r="H237" s="98"/>
      <c r="I237" s="99"/>
      <c r="J237" s="99"/>
      <c r="K237" s="99"/>
      <c r="L237" s="99"/>
      <c r="M237" s="99"/>
      <c r="N237" s="99"/>
      <c r="O237" s="99"/>
      <c r="P237" s="99"/>
      <c r="Q237" s="99"/>
      <c r="R237" s="99"/>
      <c r="S237" s="98"/>
      <c r="T237" s="98"/>
      <c r="U237" s="98"/>
      <c r="V237" s="98"/>
      <c r="W237" s="98"/>
      <c r="X237" s="98"/>
      <c r="Y237" s="98"/>
      <c r="Z237" s="98"/>
      <c r="AA237" s="98"/>
      <c r="AB237" s="98"/>
      <c r="AC237" s="98"/>
      <c r="AD237" s="98"/>
      <c r="AE237" s="98"/>
      <c r="AF237" s="98"/>
      <c r="AG237" s="98"/>
      <c r="AH237" s="98"/>
      <c r="AI237" s="98"/>
      <c r="AJ237" s="98"/>
      <c r="AK237" s="98"/>
      <c r="AL237" s="98"/>
      <c r="AM237" s="98"/>
      <c r="AN237" s="98"/>
      <c r="AO237" s="98"/>
      <c r="AP237" s="98"/>
      <c r="AQ237" s="98"/>
      <c r="AR237" s="98"/>
      <c r="AS237" s="98"/>
      <c r="AT237" s="98"/>
      <c r="AU237" s="98"/>
      <c r="AV237" s="98"/>
      <c r="AW237" s="98"/>
      <c r="AX237" s="98"/>
      <c r="AY237" s="98"/>
      <c r="AZ237" s="98"/>
      <c r="BA237" s="98"/>
      <c r="BB237" s="98"/>
      <c r="BC237" s="98"/>
      <c r="BD237" s="98"/>
      <c r="BE237" s="98"/>
      <c r="BF237" s="98"/>
      <c r="BG237" s="98"/>
      <c r="BH237" s="98"/>
      <c r="BI237" s="98"/>
      <c r="BJ237" s="98"/>
      <c r="BK237" s="98"/>
      <c r="BL237" s="98"/>
      <c r="BM237" s="98"/>
      <c r="BN237" s="98"/>
      <c r="BO237" s="98"/>
      <c r="BP237" s="98"/>
      <c r="BQ237" s="98"/>
      <c r="BR237" s="98"/>
      <c r="BS237" s="98"/>
      <c r="BT237" s="98"/>
      <c r="BU237" s="98"/>
      <c r="BV237" s="98"/>
      <c r="BW237" s="98"/>
      <c r="BX237" s="98"/>
      <c r="BY237" s="98"/>
      <c r="BZ237" s="98"/>
      <c r="CA237" s="98"/>
    </row>
    <row r="238" ht="15.75" customHeight="1">
      <c r="A238" s="98"/>
      <c r="B238" s="98"/>
      <c r="C238" s="98"/>
      <c r="D238" s="98"/>
      <c r="E238" s="98"/>
      <c r="F238" s="98"/>
      <c r="G238" s="98"/>
      <c r="H238" s="98"/>
      <c r="I238" s="99"/>
      <c r="J238" s="99"/>
      <c r="K238" s="99"/>
      <c r="L238" s="99"/>
      <c r="M238" s="99"/>
      <c r="N238" s="99"/>
      <c r="O238" s="99"/>
      <c r="P238" s="99"/>
      <c r="Q238" s="99"/>
      <c r="R238" s="99"/>
      <c r="S238" s="98"/>
      <c r="T238" s="98"/>
      <c r="U238" s="98"/>
      <c r="V238" s="98"/>
      <c r="W238" s="98"/>
      <c r="X238" s="98"/>
      <c r="Y238" s="98"/>
      <c r="Z238" s="98"/>
      <c r="AA238" s="98"/>
      <c r="AB238" s="98"/>
      <c r="AC238" s="98"/>
      <c r="AD238" s="98"/>
      <c r="AE238" s="98"/>
      <c r="AF238" s="98"/>
      <c r="AG238" s="98"/>
      <c r="AH238" s="98"/>
      <c r="AI238" s="98"/>
      <c r="AJ238" s="98"/>
      <c r="AK238" s="98"/>
      <c r="AL238" s="98"/>
      <c r="AM238" s="98"/>
      <c r="AN238" s="98"/>
      <c r="AO238" s="98"/>
      <c r="AP238" s="98"/>
      <c r="AQ238" s="98"/>
      <c r="AR238" s="98"/>
      <c r="AS238" s="98"/>
      <c r="AT238" s="98"/>
      <c r="AU238" s="98"/>
      <c r="AV238" s="98"/>
      <c r="AW238" s="98"/>
      <c r="AX238" s="98"/>
      <c r="AY238" s="98"/>
      <c r="AZ238" s="98"/>
      <c r="BA238" s="98"/>
      <c r="BB238" s="98"/>
      <c r="BC238" s="98"/>
      <c r="BD238" s="98"/>
      <c r="BE238" s="98"/>
      <c r="BF238" s="98"/>
      <c r="BG238" s="98"/>
      <c r="BH238" s="98"/>
      <c r="BI238" s="98"/>
      <c r="BJ238" s="98"/>
      <c r="BK238" s="98"/>
      <c r="BL238" s="98"/>
      <c r="BM238" s="98"/>
      <c r="BN238" s="98"/>
      <c r="BO238" s="98"/>
      <c r="BP238" s="98"/>
      <c r="BQ238" s="98"/>
      <c r="BR238" s="98"/>
      <c r="BS238" s="98"/>
      <c r="BT238" s="98"/>
      <c r="BU238" s="98"/>
      <c r="BV238" s="98"/>
      <c r="BW238" s="98"/>
      <c r="BX238" s="98"/>
      <c r="BY238" s="98"/>
      <c r="BZ238" s="98"/>
      <c r="CA238" s="98"/>
    </row>
    <row r="239" ht="15.75" customHeight="1">
      <c r="A239" s="98"/>
      <c r="B239" s="98"/>
      <c r="C239" s="98"/>
      <c r="D239" s="98"/>
      <c r="E239" s="98"/>
      <c r="F239" s="98"/>
      <c r="G239" s="98"/>
      <c r="H239" s="98"/>
      <c r="I239" s="99"/>
      <c r="J239" s="99"/>
      <c r="K239" s="99"/>
      <c r="L239" s="99"/>
      <c r="M239" s="99"/>
      <c r="N239" s="99"/>
      <c r="O239" s="99"/>
      <c r="P239" s="99"/>
      <c r="Q239" s="99"/>
      <c r="R239" s="99"/>
      <c r="S239" s="98"/>
      <c r="T239" s="98"/>
      <c r="U239" s="98"/>
      <c r="V239" s="98"/>
      <c r="W239" s="98"/>
      <c r="X239" s="98"/>
      <c r="Y239" s="98"/>
      <c r="Z239" s="98"/>
      <c r="AA239" s="98"/>
      <c r="AB239" s="98"/>
      <c r="AC239" s="98"/>
      <c r="AD239" s="98"/>
      <c r="AE239" s="98"/>
      <c r="AF239" s="98"/>
      <c r="AG239" s="98"/>
      <c r="AH239" s="98"/>
      <c r="AI239" s="98"/>
      <c r="AJ239" s="98"/>
      <c r="AK239" s="98"/>
      <c r="AL239" s="98"/>
      <c r="AM239" s="98"/>
      <c r="AN239" s="98"/>
      <c r="AO239" s="98"/>
      <c r="AP239" s="98"/>
      <c r="AQ239" s="98"/>
      <c r="AR239" s="98"/>
      <c r="AS239" s="98"/>
      <c r="AT239" s="98"/>
      <c r="AU239" s="98"/>
      <c r="AV239" s="98"/>
      <c r="AW239" s="98"/>
      <c r="AX239" s="98"/>
      <c r="AY239" s="98"/>
      <c r="AZ239" s="98"/>
      <c r="BA239" s="98"/>
      <c r="BB239" s="98"/>
      <c r="BC239" s="98"/>
      <c r="BD239" s="98"/>
      <c r="BE239" s="98"/>
      <c r="BF239" s="98"/>
      <c r="BG239" s="98"/>
      <c r="BH239" s="98"/>
      <c r="BI239" s="98"/>
      <c r="BJ239" s="98"/>
      <c r="BK239" s="98"/>
      <c r="BL239" s="98"/>
      <c r="BM239" s="98"/>
      <c r="BN239" s="98"/>
      <c r="BO239" s="98"/>
      <c r="BP239" s="98"/>
      <c r="BQ239" s="98"/>
      <c r="BR239" s="98"/>
      <c r="BS239" s="98"/>
      <c r="BT239" s="98"/>
      <c r="BU239" s="98"/>
      <c r="BV239" s="98"/>
      <c r="BW239" s="98"/>
      <c r="BX239" s="98"/>
      <c r="BY239" s="98"/>
      <c r="BZ239" s="98"/>
      <c r="CA239" s="98"/>
    </row>
    <row r="240" ht="15.75" customHeight="1">
      <c r="A240" s="98"/>
      <c r="B240" s="98"/>
      <c r="C240" s="98"/>
      <c r="D240" s="98"/>
      <c r="E240" s="98"/>
      <c r="F240" s="98"/>
      <c r="G240" s="98"/>
      <c r="H240" s="98"/>
      <c r="I240" s="99"/>
      <c r="J240" s="99"/>
      <c r="K240" s="99"/>
      <c r="L240" s="99"/>
      <c r="M240" s="99"/>
      <c r="N240" s="99"/>
      <c r="O240" s="99"/>
      <c r="P240" s="99"/>
      <c r="Q240" s="99"/>
      <c r="R240" s="99"/>
      <c r="S240" s="98"/>
      <c r="T240" s="98"/>
      <c r="U240" s="98"/>
      <c r="V240" s="98"/>
      <c r="W240" s="98"/>
      <c r="X240" s="98"/>
      <c r="Y240" s="98"/>
      <c r="Z240" s="98"/>
      <c r="AA240" s="98"/>
      <c r="AB240" s="98"/>
      <c r="AC240" s="98"/>
      <c r="AD240" s="98"/>
      <c r="AE240" s="98"/>
      <c r="AF240" s="98"/>
      <c r="AG240" s="98"/>
      <c r="AH240" s="98"/>
      <c r="AI240" s="98"/>
      <c r="AJ240" s="98"/>
      <c r="AK240" s="98"/>
      <c r="AL240" s="98"/>
      <c r="AM240" s="98"/>
      <c r="AN240" s="98"/>
      <c r="AO240" s="98"/>
      <c r="AP240" s="98"/>
      <c r="AQ240" s="98"/>
      <c r="AR240" s="98"/>
      <c r="AS240" s="98"/>
      <c r="AT240" s="98"/>
      <c r="AU240" s="98"/>
      <c r="AV240" s="98"/>
      <c r="AW240" s="98"/>
      <c r="AX240" s="98"/>
      <c r="AY240" s="98"/>
      <c r="AZ240" s="98"/>
      <c r="BA240" s="98"/>
      <c r="BB240" s="98"/>
      <c r="BC240" s="98"/>
      <c r="BD240" s="98"/>
      <c r="BE240" s="98"/>
      <c r="BF240" s="98"/>
      <c r="BG240" s="98"/>
      <c r="BH240" s="98"/>
      <c r="BI240" s="98"/>
      <c r="BJ240" s="98"/>
      <c r="BK240" s="98"/>
      <c r="BL240" s="98"/>
      <c r="BM240" s="98"/>
      <c r="BN240" s="98"/>
      <c r="BO240" s="98"/>
      <c r="BP240" s="98"/>
      <c r="BQ240" s="98"/>
      <c r="BR240" s="98"/>
      <c r="BS240" s="98"/>
      <c r="BT240" s="98"/>
      <c r="BU240" s="98"/>
      <c r="BV240" s="98"/>
      <c r="BW240" s="98"/>
      <c r="BX240" s="98"/>
      <c r="BY240" s="98"/>
      <c r="BZ240" s="98"/>
      <c r="CA240" s="98"/>
    </row>
    <row r="241" ht="15.75" customHeight="1">
      <c r="A241" s="98"/>
      <c r="B241" s="98"/>
      <c r="C241" s="98"/>
      <c r="D241" s="98"/>
      <c r="E241" s="98"/>
      <c r="F241" s="98"/>
      <c r="G241" s="98"/>
      <c r="H241" s="98"/>
      <c r="I241" s="99"/>
      <c r="J241" s="99"/>
      <c r="K241" s="99"/>
      <c r="L241" s="99"/>
      <c r="M241" s="99"/>
      <c r="N241" s="99"/>
      <c r="O241" s="99"/>
      <c r="P241" s="99"/>
      <c r="Q241" s="99"/>
      <c r="R241" s="99"/>
      <c r="S241" s="98"/>
      <c r="T241" s="98"/>
      <c r="U241" s="98"/>
      <c r="V241" s="98"/>
      <c r="W241" s="98"/>
      <c r="X241" s="98"/>
      <c r="Y241" s="98"/>
      <c r="Z241" s="98"/>
      <c r="AA241" s="98"/>
      <c r="AB241" s="98"/>
      <c r="AC241" s="98"/>
      <c r="AD241" s="98"/>
      <c r="AE241" s="98"/>
      <c r="AF241" s="98"/>
      <c r="AG241" s="98"/>
      <c r="AH241" s="98"/>
      <c r="AI241" s="98"/>
      <c r="AJ241" s="98"/>
      <c r="AK241" s="98"/>
      <c r="AL241" s="98"/>
      <c r="AM241" s="98"/>
      <c r="AN241" s="98"/>
      <c r="AO241" s="98"/>
      <c r="AP241" s="98"/>
      <c r="AQ241" s="98"/>
      <c r="AR241" s="98"/>
      <c r="AS241" s="98"/>
      <c r="AT241" s="98"/>
      <c r="AU241" s="98"/>
      <c r="AV241" s="98"/>
      <c r="AW241" s="98"/>
      <c r="AX241" s="98"/>
      <c r="AY241" s="98"/>
      <c r="AZ241" s="98"/>
      <c r="BA241" s="98"/>
      <c r="BB241" s="98"/>
      <c r="BC241" s="98"/>
      <c r="BD241" s="98"/>
      <c r="BE241" s="98"/>
      <c r="BF241" s="98"/>
      <c r="BG241" s="98"/>
      <c r="BH241" s="98"/>
      <c r="BI241" s="98"/>
      <c r="BJ241" s="98"/>
      <c r="BK241" s="98"/>
      <c r="BL241" s="98"/>
      <c r="BM241" s="98"/>
      <c r="BN241" s="98"/>
      <c r="BO241" s="98"/>
      <c r="BP241" s="98"/>
      <c r="BQ241" s="98"/>
      <c r="BR241" s="98"/>
      <c r="BS241" s="98"/>
      <c r="BT241" s="98"/>
      <c r="BU241" s="98"/>
      <c r="BV241" s="98"/>
      <c r="BW241" s="98"/>
      <c r="BX241" s="98"/>
      <c r="BY241" s="98"/>
      <c r="BZ241" s="98"/>
      <c r="CA241" s="98"/>
    </row>
    <row r="242" ht="15.75" customHeight="1">
      <c r="A242" s="98"/>
      <c r="B242" s="98"/>
      <c r="C242" s="98"/>
      <c r="D242" s="98"/>
      <c r="E242" s="98"/>
      <c r="F242" s="98"/>
      <c r="G242" s="98"/>
      <c r="H242" s="98"/>
      <c r="I242" s="99"/>
      <c r="J242" s="99"/>
      <c r="K242" s="99"/>
      <c r="L242" s="99"/>
      <c r="M242" s="99"/>
      <c r="N242" s="99"/>
      <c r="O242" s="99"/>
      <c r="P242" s="99"/>
      <c r="Q242" s="99"/>
      <c r="R242" s="99"/>
      <c r="S242" s="98"/>
      <c r="T242" s="98"/>
      <c r="U242" s="98"/>
      <c r="V242" s="98"/>
      <c r="W242" s="98"/>
      <c r="X242" s="98"/>
      <c r="Y242" s="98"/>
      <c r="Z242" s="98"/>
      <c r="AA242" s="98"/>
      <c r="AB242" s="98"/>
      <c r="AC242" s="98"/>
      <c r="AD242" s="98"/>
      <c r="AE242" s="98"/>
      <c r="AF242" s="98"/>
      <c r="AG242" s="98"/>
      <c r="AH242" s="98"/>
      <c r="AI242" s="98"/>
      <c r="AJ242" s="98"/>
      <c r="AK242" s="98"/>
      <c r="AL242" s="98"/>
      <c r="AM242" s="98"/>
      <c r="AN242" s="98"/>
      <c r="AO242" s="98"/>
      <c r="AP242" s="98"/>
      <c r="AQ242" s="98"/>
      <c r="AR242" s="98"/>
      <c r="AS242" s="98"/>
      <c r="AT242" s="98"/>
      <c r="AU242" s="98"/>
      <c r="AV242" s="98"/>
      <c r="AW242" s="98"/>
      <c r="AX242" s="98"/>
      <c r="AY242" s="98"/>
      <c r="AZ242" s="98"/>
      <c r="BA242" s="98"/>
      <c r="BB242" s="98"/>
      <c r="BC242" s="98"/>
      <c r="BD242" s="98"/>
      <c r="BE242" s="98"/>
      <c r="BF242" s="98"/>
      <c r="BG242" s="98"/>
      <c r="BH242" s="98"/>
      <c r="BI242" s="98"/>
      <c r="BJ242" s="98"/>
      <c r="BK242" s="98"/>
      <c r="BL242" s="98"/>
      <c r="BM242" s="98"/>
      <c r="BN242" s="98"/>
      <c r="BO242" s="98"/>
      <c r="BP242" s="98"/>
      <c r="BQ242" s="98"/>
      <c r="BR242" s="98"/>
      <c r="BS242" s="98"/>
      <c r="BT242" s="98"/>
      <c r="BU242" s="98"/>
      <c r="BV242" s="98"/>
      <c r="BW242" s="98"/>
      <c r="BX242" s="98"/>
      <c r="BY242" s="98"/>
      <c r="BZ242" s="98"/>
      <c r="CA242" s="98"/>
    </row>
    <row r="243" ht="15.75" customHeight="1">
      <c r="A243" s="98"/>
      <c r="B243" s="98"/>
      <c r="C243" s="98"/>
      <c r="D243" s="98"/>
      <c r="E243" s="98"/>
      <c r="F243" s="98"/>
      <c r="G243" s="98"/>
      <c r="H243" s="98"/>
      <c r="I243" s="99"/>
      <c r="J243" s="99"/>
      <c r="K243" s="99"/>
      <c r="L243" s="99"/>
      <c r="M243" s="99"/>
      <c r="N243" s="99"/>
      <c r="O243" s="99"/>
      <c r="P243" s="99"/>
      <c r="Q243" s="99"/>
      <c r="R243" s="99"/>
      <c r="S243" s="98"/>
      <c r="T243" s="98"/>
      <c r="U243" s="98"/>
      <c r="V243" s="98"/>
      <c r="W243" s="98"/>
      <c r="X243" s="98"/>
      <c r="Y243" s="98"/>
      <c r="Z243" s="98"/>
      <c r="AA243" s="98"/>
      <c r="AB243" s="98"/>
      <c r="AC243" s="98"/>
      <c r="AD243" s="98"/>
      <c r="AE243" s="98"/>
      <c r="AF243" s="98"/>
      <c r="AG243" s="98"/>
      <c r="AH243" s="98"/>
      <c r="AI243" s="98"/>
      <c r="AJ243" s="98"/>
      <c r="AK243" s="98"/>
      <c r="AL243" s="98"/>
      <c r="AM243" s="98"/>
      <c r="AN243" s="98"/>
      <c r="AO243" s="98"/>
      <c r="AP243" s="98"/>
      <c r="AQ243" s="98"/>
      <c r="AR243" s="98"/>
      <c r="AS243" s="98"/>
      <c r="AT243" s="98"/>
      <c r="AU243" s="98"/>
      <c r="AV243" s="98"/>
      <c r="AW243" s="98"/>
      <c r="AX243" s="98"/>
      <c r="AY243" s="98"/>
      <c r="AZ243" s="98"/>
      <c r="BA243" s="98"/>
      <c r="BB243" s="98"/>
      <c r="BC243" s="98"/>
      <c r="BD243" s="98"/>
      <c r="BE243" s="98"/>
      <c r="BF243" s="98"/>
      <c r="BG243" s="98"/>
      <c r="BH243" s="98"/>
      <c r="BI243" s="98"/>
      <c r="BJ243" s="98"/>
      <c r="BK243" s="98"/>
      <c r="BL243" s="98"/>
      <c r="BM243" s="98"/>
      <c r="BN243" s="98"/>
      <c r="BO243" s="98"/>
      <c r="BP243" s="98"/>
      <c r="BQ243" s="98"/>
      <c r="BR243" s="98"/>
      <c r="BS243" s="98"/>
      <c r="BT243" s="98"/>
      <c r="BU243" s="98"/>
      <c r="BV243" s="98"/>
      <c r="BW243" s="98"/>
      <c r="BX243" s="98"/>
      <c r="BY243" s="98"/>
      <c r="BZ243" s="98"/>
      <c r="CA243" s="98"/>
    </row>
    <row r="244" ht="15.75" customHeight="1">
      <c r="A244" s="98"/>
      <c r="B244" s="98"/>
      <c r="C244" s="98"/>
      <c r="D244" s="98"/>
      <c r="E244" s="98"/>
      <c r="F244" s="98"/>
      <c r="G244" s="98"/>
      <c r="H244" s="98"/>
      <c r="I244" s="99"/>
      <c r="J244" s="99"/>
      <c r="K244" s="99"/>
      <c r="L244" s="99"/>
      <c r="M244" s="99"/>
      <c r="N244" s="99"/>
      <c r="O244" s="99"/>
      <c r="P244" s="99"/>
      <c r="Q244" s="99"/>
      <c r="R244" s="99"/>
      <c r="S244" s="98"/>
      <c r="T244" s="98"/>
      <c r="U244" s="98"/>
      <c r="V244" s="98"/>
      <c r="W244" s="98"/>
      <c r="X244" s="98"/>
      <c r="Y244" s="98"/>
      <c r="Z244" s="98"/>
      <c r="AA244" s="98"/>
      <c r="AB244" s="98"/>
      <c r="AC244" s="98"/>
      <c r="AD244" s="98"/>
      <c r="AE244" s="98"/>
      <c r="AF244" s="98"/>
      <c r="AG244" s="98"/>
      <c r="AH244" s="98"/>
      <c r="AI244" s="98"/>
      <c r="AJ244" s="98"/>
      <c r="AK244" s="98"/>
      <c r="AL244" s="98"/>
      <c r="AM244" s="98"/>
      <c r="AN244" s="98"/>
      <c r="AO244" s="98"/>
      <c r="AP244" s="98"/>
      <c r="AQ244" s="98"/>
      <c r="AR244" s="98"/>
      <c r="AS244" s="98"/>
      <c r="AT244" s="98"/>
      <c r="AU244" s="98"/>
      <c r="AV244" s="98"/>
      <c r="AW244" s="98"/>
      <c r="AX244" s="98"/>
      <c r="AY244" s="98"/>
      <c r="AZ244" s="98"/>
      <c r="BA244" s="98"/>
      <c r="BB244" s="98"/>
      <c r="BC244" s="98"/>
      <c r="BD244" s="98"/>
      <c r="BE244" s="98"/>
      <c r="BF244" s="98"/>
      <c r="BG244" s="98"/>
      <c r="BH244" s="98"/>
      <c r="BI244" s="98"/>
      <c r="BJ244" s="98"/>
      <c r="BK244" s="98"/>
      <c r="BL244" s="98"/>
      <c r="BM244" s="98"/>
      <c r="BN244" s="98"/>
      <c r="BO244" s="98"/>
      <c r="BP244" s="98"/>
      <c r="BQ244" s="98"/>
      <c r="BR244" s="98"/>
      <c r="BS244" s="98"/>
      <c r="BT244" s="98"/>
      <c r="BU244" s="98"/>
      <c r="BV244" s="98"/>
      <c r="BW244" s="98"/>
      <c r="BX244" s="98"/>
      <c r="BY244" s="98"/>
      <c r="BZ244" s="98"/>
      <c r="CA244" s="98"/>
    </row>
    <row r="245" ht="15.75" customHeight="1">
      <c r="A245" s="98"/>
      <c r="B245" s="98"/>
      <c r="C245" s="98"/>
      <c r="D245" s="98"/>
      <c r="E245" s="98"/>
      <c r="F245" s="98"/>
      <c r="G245" s="98"/>
      <c r="H245" s="98"/>
      <c r="I245" s="99"/>
      <c r="J245" s="99"/>
      <c r="K245" s="99"/>
      <c r="L245" s="99"/>
      <c r="M245" s="99"/>
      <c r="N245" s="99"/>
      <c r="O245" s="99"/>
      <c r="P245" s="99"/>
      <c r="Q245" s="99"/>
      <c r="R245" s="99"/>
      <c r="S245" s="98"/>
      <c r="T245" s="98"/>
      <c r="U245" s="98"/>
      <c r="V245" s="98"/>
      <c r="W245" s="98"/>
      <c r="X245" s="98"/>
      <c r="Y245" s="98"/>
      <c r="Z245" s="98"/>
      <c r="AA245" s="98"/>
      <c r="AB245" s="98"/>
      <c r="AC245" s="98"/>
      <c r="AD245" s="98"/>
      <c r="AE245" s="98"/>
      <c r="AF245" s="98"/>
      <c r="AG245" s="98"/>
      <c r="AH245" s="98"/>
      <c r="AI245" s="98"/>
      <c r="AJ245" s="98"/>
      <c r="AK245" s="98"/>
      <c r="AL245" s="98"/>
      <c r="AM245" s="98"/>
      <c r="AN245" s="98"/>
      <c r="AO245" s="98"/>
      <c r="AP245" s="98"/>
      <c r="AQ245" s="98"/>
      <c r="AR245" s="98"/>
      <c r="AS245" s="98"/>
      <c r="AT245" s="98"/>
      <c r="AU245" s="98"/>
      <c r="AV245" s="98"/>
      <c r="AW245" s="98"/>
      <c r="AX245" s="98"/>
      <c r="AY245" s="98"/>
      <c r="AZ245" s="98"/>
      <c r="BA245" s="98"/>
      <c r="BB245" s="98"/>
      <c r="BC245" s="98"/>
      <c r="BD245" s="98"/>
      <c r="BE245" s="98"/>
      <c r="BF245" s="98"/>
      <c r="BG245" s="98"/>
      <c r="BH245" s="98"/>
      <c r="BI245" s="98"/>
      <c r="BJ245" s="98"/>
      <c r="BK245" s="98"/>
      <c r="BL245" s="98"/>
      <c r="BM245" s="98"/>
      <c r="BN245" s="98"/>
      <c r="BO245" s="98"/>
      <c r="BP245" s="98"/>
      <c r="BQ245" s="98"/>
      <c r="BR245" s="98"/>
      <c r="BS245" s="98"/>
      <c r="BT245" s="98"/>
      <c r="BU245" s="98"/>
      <c r="BV245" s="98"/>
      <c r="BW245" s="98"/>
      <c r="BX245" s="98"/>
      <c r="BY245" s="98"/>
      <c r="BZ245" s="98"/>
      <c r="CA245" s="98"/>
    </row>
    <row r="246" ht="15.75" customHeight="1">
      <c r="A246" s="98"/>
      <c r="B246" s="98"/>
      <c r="C246" s="98"/>
      <c r="D246" s="98"/>
      <c r="E246" s="98"/>
      <c r="F246" s="98"/>
      <c r="G246" s="98"/>
      <c r="H246" s="98"/>
      <c r="I246" s="99"/>
      <c r="J246" s="99"/>
      <c r="K246" s="99"/>
      <c r="L246" s="99"/>
      <c r="M246" s="99"/>
      <c r="N246" s="99"/>
      <c r="O246" s="99"/>
      <c r="P246" s="99"/>
      <c r="Q246" s="99"/>
      <c r="R246" s="99"/>
      <c r="S246" s="98"/>
      <c r="T246" s="98"/>
      <c r="U246" s="98"/>
      <c r="V246" s="98"/>
      <c r="W246" s="98"/>
      <c r="X246" s="98"/>
      <c r="Y246" s="98"/>
      <c r="Z246" s="98"/>
      <c r="AA246" s="98"/>
      <c r="AB246" s="98"/>
      <c r="AC246" s="98"/>
      <c r="AD246" s="98"/>
      <c r="AE246" s="98"/>
      <c r="AF246" s="98"/>
      <c r="AG246" s="98"/>
      <c r="AH246" s="98"/>
      <c r="AI246" s="98"/>
      <c r="AJ246" s="98"/>
      <c r="AK246" s="98"/>
      <c r="AL246" s="98"/>
      <c r="AM246" s="98"/>
      <c r="AN246" s="98"/>
      <c r="AO246" s="98"/>
      <c r="AP246" s="98"/>
      <c r="AQ246" s="98"/>
      <c r="AR246" s="98"/>
      <c r="AS246" s="98"/>
      <c r="AT246" s="98"/>
      <c r="AU246" s="98"/>
      <c r="AV246" s="98"/>
      <c r="AW246" s="98"/>
      <c r="AX246" s="98"/>
      <c r="AY246" s="98"/>
      <c r="AZ246" s="98"/>
      <c r="BA246" s="98"/>
      <c r="BB246" s="98"/>
      <c r="BC246" s="98"/>
      <c r="BD246" s="98"/>
      <c r="BE246" s="98"/>
      <c r="BF246" s="98"/>
      <c r="BG246" s="98"/>
      <c r="BH246" s="98"/>
      <c r="BI246" s="98"/>
      <c r="BJ246" s="98"/>
      <c r="BK246" s="98"/>
      <c r="BL246" s="98"/>
      <c r="BM246" s="98"/>
      <c r="BN246" s="98"/>
      <c r="BO246" s="98"/>
      <c r="BP246" s="98"/>
      <c r="BQ246" s="98"/>
      <c r="BR246" s="98"/>
      <c r="BS246" s="98"/>
      <c r="BT246" s="98"/>
      <c r="BU246" s="98"/>
      <c r="BV246" s="98"/>
      <c r="BW246" s="98"/>
      <c r="BX246" s="98"/>
      <c r="BY246" s="98"/>
      <c r="BZ246" s="98"/>
      <c r="CA246" s="98"/>
    </row>
    <row r="247" ht="15.75" customHeight="1">
      <c r="A247" s="98"/>
      <c r="B247" s="98"/>
      <c r="C247" s="98"/>
      <c r="D247" s="98"/>
      <c r="E247" s="98"/>
      <c r="F247" s="98"/>
      <c r="G247" s="98"/>
      <c r="H247" s="98"/>
      <c r="I247" s="99"/>
      <c r="J247" s="99"/>
      <c r="K247" s="99"/>
      <c r="L247" s="99"/>
      <c r="M247" s="99"/>
      <c r="N247" s="99"/>
      <c r="O247" s="99"/>
      <c r="P247" s="99"/>
      <c r="Q247" s="99"/>
      <c r="R247" s="99"/>
      <c r="S247" s="98"/>
      <c r="T247" s="98"/>
      <c r="U247" s="98"/>
      <c r="V247" s="98"/>
      <c r="W247" s="98"/>
      <c r="X247" s="98"/>
      <c r="Y247" s="98"/>
      <c r="Z247" s="98"/>
      <c r="AA247" s="98"/>
      <c r="AB247" s="98"/>
      <c r="AC247" s="98"/>
      <c r="AD247" s="98"/>
      <c r="AE247" s="98"/>
      <c r="AF247" s="98"/>
      <c r="AG247" s="98"/>
      <c r="AH247" s="98"/>
      <c r="AI247" s="98"/>
      <c r="AJ247" s="98"/>
      <c r="AK247" s="98"/>
      <c r="AL247" s="98"/>
      <c r="AM247" s="98"/>
      <c r="AN247" s="98"/>
      <c r="AO247" s="98"/>
      <c r="AP247" s="98"/>
      <c r="AQ247" s="98"/>
      <c r="AR247" s="98"/>
      <c r="AS247" s="98"/>
      <c r="AT247" s="98"/>
      <c r="AU247" s="98"/>
      <c r="AV247" s="98"/>
      <c r="AW247" s="98"/>
      <c r="AX247" s="98"/>
      <c r="AY247" s="98"/>
      <c r="AZ247" s="98"/>
      <c r="BA247" s="98"/>
      <c r="BB247" s="98"/>
      <c r="BC247" s="98"/>
      <c r="BD247" s="98"/>
      <c r="BE247" s="98"/>
      <c r="BF247" s="98"/>
      <c r="BG247" s="98"/>
      <c r="BH247" s="98"/>
      <c r="BI247" s="98"/>
      <c r="BJ247" s="98"/>
      <c r="BK247" s="98"/>
      <c r="BL247" s="98"/>
      <c r="BM247" s="98"/>
      <c r="BN247" s="98"/>
      <c r="BO247" s="98"/>
      <c r="BP247" s="98"/>
      <c r="BQ247" s="98"/>
      <c r="BR247" s="98"/>
      <c r="BS247" s="98"/>
      <c r="BT247" s="98"/>
      <c r="BU247" s="98"/>
      <c r="BV247" s="98"/>
      <c r="BW247" s="98"/>
      <c r="BX247" s="98"/>
      <c r="BY247" s="98"/>
      <c r="BZ247" s="98"/>
      <c r="CA247" s="98"/>
    </row>
    <row r="248" ht="15.75" customHeight="1">
      <c r="A248" s="98"/>
      <c r="B248" s="98"/>
      <c r="C248" s="98"/>
      <c r="D248" s="98"/>
      <c r="E248" s="98"/>
      <c r="F248" s="98"/>
      <c r="G248" s="98"/>
      <c r="H248" s="98"/>
      <c r="I248" s="99"/>
      <c r="J248" s="99"/>
      <c r="K248" s="99"/>
      <c r="L248" s="99"/>
      <c r="M248" s="99"/>
      <c r="N248" s="99"/>
      <c r="O248" s="99"/>
      <c r="P248" s="99"/>
      <c r="Q248" s="99"/>
      <c r="R248" s="99"/>
      <c r="S248" s="98"/>
      <c r="T248" s="98"/>
      <c r="U248" s="98"/>
      <c r="V248" s="98"/>
      <c r="W248" s="98"/>
      <c r="X248" s="98"/>
      <c r="Y248" s="98"/>
      <c r="Z248" s="98"/>
      <c r="AA248" s="98"/>
      <c r="AB248" s="98"/>
      <c r="AC248" s="98"/>
      <c r="AD248" s="98"/>
      <c r="AE248" s="98"/>
      <c r="AF248" s="98"/>
      <c r="AG248" s="98"/>
      <c r="AH248" s="98"/>
      <c r="AI248" s="98"/>
      <c r="AJ248" s="98"/>
      <c r="AK248" s="98"/>
      <c r="AL248" s="98"/>
      <c r="AM248" s="98"/>
      <c r="AN248" s="98"/>
      <c r="AO248" s="98"/>
      <c r="AP248" s="98"/>
      <c r="AQ248" s="98"/>
      <c r="AR248" s="98"/>
      <c r="AS248" s="98"/>
      <c r="AT248" s="98"/>
      <c r="AU248" s="98"/>
      <c r="AV248" s="98"/>
      <c r="AW248" s="98"/>
      <c r="AX248" s="98"/>
      <c r="AY248" s="98"/>
      <c r="AZ248" s="98"/>
      <c r="BA248" s="98"/>
      <c r="BB248" s="98"/>
      <c r="BC248" s="98"/>
      <c r="BD248" s="98"/>
      <c r="BE248" s="98"/>
      <c r="BF248" s="98"/>
      <c r="BG248" s="98"/>
      <c r="BH248" s="98"/>
      <c r="BI248" s="98"/>
      <c r="BJ248" s="98"/>
      <c r="BK248" s="98"/>
      <c r="BL248" s="98"/>
      <c r="BM248" s="98"/>
      <c r="BN248" s="98"/>
      <c r="BO248" s="98"/>
      <c r="BP248" s="98"/>
      <c r="BQ248" s="98"/>
      <c r="BR248" s="98"/>
      <c r="BS248" s="98"/>
      <c r="BT248" s="98"/>
      <c r="BU248" s="98"/>
      <c r="BV248" s="98"/>
      <c r="BW248" s="98"/>
      <c r="BX248" s="98"/>
      <c r="BY248" s="98"/>
      <c r="BZ248" s="98"/>
      <c r="CA248" s="98"/>
    </row>
    <row r="249" ht="15.75" customHeight="1">
      <c r="A249" s="98"/>
      <c r="B249" s="98"/>
      <c r="C249" s="98"/>
      <c r="D249" s="98"/>
      <c r="E249" s="98"/>
      <c r="F249" s="98"/>
      <c r="G249" s="98"/>
      <c r="H249" s="98"/>
      <c r="I249" s="99"/>
      <c r="J249" s="99"/>
      <c r="K249" s="99"/>
      <c r="L249" s="99"/>
      <c r="M249" s="99"/>
      <c r="N249" s="99"/>
      <c r="O249" s="99"/>
      <c r="P249" s="99"/>
      <c r="Q249" s="99"/>
      <c r="R249" s="99"/>
      <c r="S249" s="98"/>
      <c r="T249" s="98"/>
      <c r="U249" s="98"/>
      <c r="V249" s="98"/>
      <c r="W249" s="98"/>
      <c r="X249" s="98"/>
      <c r="Y249" s="98"/>
      <c r="Z249" s="98"/>
      <c r="AA249" s="98"/>
      <c r="AB249" s="98"/>
      <c r="AC249" s="98"/>
      <c r="AD249" s="98"/>
      <c r="AE249" s="98"/>
      <c r="AF249" s="98"/>
      <c r="AG249" s="98"/>
      <c r="AH249" s="98"/>
      <c r="AI249" s="98"/>
      <c r="AJ249" s="98"/>
      <c r="AK249" s="98"/>
      <c r="AL249" s="98"/>
      <c r="AM249" s="98"/>
      <c r="AN249" s="98"/>
      <c r="AO249" s="98"/>
      <c r="AP249" s="98"/>
      <c r="AQ249" s="98"/>
      <c r="AR249" s="98"/>
      <c r="AS249" s="98"/>
      <c r="AT249" s="98"/>
      <c r="AU249" s="98"/>
      <c r="AV249" s="98"/>
      <c r="AW249" s="98"/>
      <c r="AX249" s="98"/>
      <c r="AY249" s="98"/>
      <c r="AZ249" s="98"/>
      <c r="BA249" s="98"/>
      <c r="BB249" s="98"/>
      <c r="BC249" s="98"/>
      <c r="BD249" s="98"/>
      <c r="BE249" s="98"/>
      <c r="BF249" s="98"/>
      <c r="BG249" s="98"/>
      <c r="BH249" s="98"/>
      <c r="BI249" s="98"/>
      <c r="BJ249" s="98"/>
      <c r="BK249" s="98"/>
      <c r="BL249" s="98"/>
      <c r="BM249" s="98"/>
      <c r="BN249" s="98"/>
      <c r="BO249" s="98"/>
      <c r="BP249" s="98"/>
      <c r="BQ249" s="98"/>
      <c r="BR249" s="98"/>
      <c r="BS249" s="98"/>
      <c r="BT249" s="98"/>
      <c r="BU249" s="98"/>
      <c r="BV249" s="98"/>
      <c r="BW249" s="98"/>
      <c r="BX249" s="98"/>
      <c r="BY249" s="98"/>
      <c r="BZ249" s="98"/>
      <c r="CA249" s="98"/>
    </row>
    <row r="250" ht="15.75" customHeight="1">
      <c r="A250" s="98"/>
      <c r="B250" s="98"/>
      <c r="C250" s="98"/>
      <c r="D250" s="98"/>
      <c r="E250" s="98"/>
      <c r="F250" s="98"/>
      <c r="G250" s="98"/>
      <c r="H250" s="98"/>
      <c r="I250" s="99"/>
      <c r="J250" s="99"/>
      <c r="K250" s="99"/>
      <c r="L250" s="99"/>
      <c r="M250" s="99"/>
      <c r="N250" s="99"/>
      <c r="O250" s="99"/>
      <c r="P250" s="99"/>
      <c r="Q250" s="99"/>
      <c r="R250" s="99"/>
      <c r="S250" s="98"/>
      <c r="T250" s="98"/>
      <c r="U250" s="98"/>
      <c r="V250" s="98"/>
      <c r="W250" s="98"/>
      <c r="X250" s="98"/>
      <c r="Y250" s="98"/>
      <c r="Z250" s="98"/>
      <c r="AA250" s="98"/>
      <c r="AB250" s="98"/>
      <c r="AC250" s="98"/>
      <c r="AD250" s="98"/>
      <c r="AE250" s="98"/>
      <c r="AF250" s="98"/>
      <c r="AG250" s="98"/>
      <c r="AH250" s="98"/>
      <c r="AI250" s="98"/>
      <c r="AJ250" s="98"/>
      <c r="AK250" s="98"/>
      <c r="AL250" s="98"/>
      <c r="AM250" s="98"/>
      <c r="AN250" s="98"/>
      <c r="AO250" s="98"/>
      <c r="AP250" s="98"/>
      <c r="AQ250" s="98"/>
      <c r="AR250" s="98"/>
      <c r="AS250" s="98"/>
      <c r="AT250" s="98"/>
      <c r="AU250" s="98"/>
      <c r="AV250" s="98"/>
      <c r="AW250" s="98"/>
      <c r="AX250" s="98"/>
      <c r="AY250" s="98"/>
      <c r="AZ250" s="98"/>
      <c r="BA250" s="98"/>
      <c r="BB250" s="98"/>
      <c r="BC250" s="98"/>
      <c r="BD250" s="98"/>
      <c r="BE250" s="98"/>
      <c r="BF250" s="98"/>
      <c r="BG250" s="98"/>
      <c r="BH250" s="98"/>
      <c r="BI250" s="98"/>
      <c r="BJ250" s="98"/>
      <c r="BK250" s="98"/>
      <c r="BL250" s="98"/>
      <c r="BM250" s="98"/>
      <c r="BN250" s="98"/>
      <c r="BO250" s="98"/>
      <c r="BP250" s="98"/>
      <c r="BQ250" s="98"/>
      <c r="BR250" s="98"/>
      <c r="BS250" s="98"/>
      <c r="BT250" s="98"/>
      <c r="BU250" s="98"/>
      <c r="BV250" s="98"/>
      <c r="BW250" s="98"/>
      <c r="BX250" s="98"/>
      <c r="BY250" s="98"/>
      <c r="BZ250" s="98"/>
      <c r="CA250" s="98"/>
    </row>
    <row r="251" ht="15.75" customHeight="1">
      <c r="A251" s="98"/>
      <c r="B251" s="98"/>
      <c r="C251" s="98"/>
      <c r="D251" s="98"/>
      <c r="E251" s="98"/>
      <c r="F251" s="98"/>
      <c r="G251" s="98"/>
      <c r="H251" s="98"/>
      <c r="I251" s="99"/>
      <c r="J251" s="99"/>
      <c r="K251" s="99"/>
      <c r="L251" s="99"/>
      <c r="M251" s="99"/>
      <c r="N251" s="99"/>
      <c r="O251" s="99"/>
      <c r="P251" s="99"/>
      <c r="Q251" s="99"/>
      <c r="R251" s="99"/>
      <c r="S251" s="98"/>
      <c r="T251" s="98"/>
      <c r="U251" s="98"/>
      <c r="V251" s="98"/>
      <c r="W251" s="98"/>
      <c r="X251" s="98"/>
      <c r="Y251" s="98"/>
      <c r="Z251" s="98"/>
      <c r="AA251" s="98"/>
      <c r="AB251" s="98"/>
      <c r="AC251" s="98"/>
      <c r="AD251" s="98"/>
      <c r="AE251" s="98"/>
      <c r="AF251" s="98"/>
      <c r="AG251" s="98"/>
      <c r="AH251" s="98"/>
      <c r="AI251" s="98"/>
      <c r="AJ251" s="98"/>
      <c r="AK251" s="98"/>
      <c r="AL251" s="98"/>
      <c r="AM251" s="98"/>
      <c r="AN251" s="98"/>
      <c r="AO251" s="98"/>
      <c r="AP251" s="98"/>
      <c r="AQ251" s="98"/>
      <c r="AR251" s="98"/>
      <c r="AS251" s="98"/>
      <c r="AT251" s="98"/>
      <c r="AU251" s="98"/>
      <c r="AV251" s="98"/>
      <c r="AW251" s="98"/>
      <c r="AX251" s="98"/>
      <c r="AY251" s="98"/>
      <c r="AZ251" s="98"/>
      <c r="BA251" s="98"/>
      <c r="BB251" s="98"/>
      <c r="BC251" s="98"/>
      <c r="BD251" s="98"/>
      <c r="BE251" s="98"/>
      <c r="BF251" s="98"/>
      <c r="BG251" s="98"/>
      <c r="BH251" s="98"/>
      <c r="BI251" s="98"/>
      <c r="BJ251" s="98"/>
      <c r="BK251" s="98"/>
      <c r="BL251" s="98"/>
      <c r="BM251" s="98"/>
      <c r="BN251" s="98"/>
      <c r="BO251" s="98"/>
      <c r="BP251" s="98"/>
      <c r="BQ251" s="98"/>
      <c r="BR251" s="98"/>
      <c r="BS251" s="98"/>
      <c r="BT251" s="98"/>
      <c r="BU251" s="98"/>
      <c r="BV251" s="98"/>
      <c r="BW251" s="98"/>
      <c r="BX251" s="98"/>
      <c r="BY251" s="98"/>
      <c r="BZ251" s="98"/>
      <c r="CA251" s="98"/>
    </row>
    <row r="252" ht="15.75" customHeight="1">
      <c r="A252" s="98"/>
      <c r="B252" s="98"/>
      <c r="C252" s="98"/>
      <c r="D252" s="98"/>
      <c r="E252" s="98"/>
      <c r="F252" s="98"/>
      <c r="G252" s="98"/>
      <c r="H252" s="98"/>
      <c r="I252" s="99"/>
      <c r="J252" s="99"/>
      <c r="K252" s="99"/>
      <c r="L252" s="99"/>
      <c r="M252" s="99"/>
      <c r="N252" s="99"/>
      <c r="O252" s="99"/>
      <c r="P252" s="99"/>
      <c r="Q252" s="99"/>
      <c r="R252" s="99"/>
      <c r="S252" s="98"/>
      <c r="T252" s="98"/>
      <c r="U252" s="98"/>
      <c r="V252" s="98"/>
      <c r="W252" s="98"/>
      <c r="X252" s="98"/>
      <c r="Y252" s="98"/>
      <c r="Z252" s="98"/>
      <c r="AA252" s="98"/>
      <c r="AB252" s="98"/>
      <c r="AC252" s="98"/>
      <c r="AD252" s="98"/>
      <c r="AE252" s="98"/>
      <c r="AF252" s="98"/>
      <c r="AG252" s="98"/>
      <c r="AH252" s="98"/>
      <c r="AI252" s="98"/>
      <c r="AJ252" s="98"/>
      <c r="AK252" s="98"/>
      <c r="AL252" s="98"/>
      <c r="AM252" s="98"/>
      <c r="AN252" s="98"/>
      <c r="AO252" s="98"/>
      <c r="AP252" s="98"/>
      <c r="AQ252" s="98"/>
      <c r="AR252" s="98"/>
      <c r="AS252" s="98"/>
      <c r="AT252" s="98"/>
      <c r="AU252" s="98"/>
      <c r="AV252" s="98"/>
      <c r="AW252" s="98"/>
      <c r="AX252" s="98"/>
      <c r="AY252" s="98"/>
      <c r="AZ252" s="98"/>
      <c r="BA252" s="98"/>
      <c r="BB252" s="98"/>
      <c r="BC252" s="98"/>
      <c r="BD252" s="98"/>
      <c r="BE252" s="98"/>
      <c r="BF252" s="98"/>
      <c r="BG252" s="98"/>
      <c r="BH252" s="98"/>
      <c r="BI252" s="98"/>
      <c r="BJ252" s="98"/>
      <c r="BK252" s="98"/>
      <c r="BL252" s="98"/>
      <c r="BM252" s="98"/>
      <c r="BN252" s="98"/>
      <c r="BO252" s="98"/>
      <c r="BP252" s="98"/>
      <c r="BQ252" s="98"/>
      <c r="BR252" s="98"/>
      <c r="BS252" s="98"/>
      <c r="BT252" s="98"/>
      <c r="BU252" s="98"/>
      <c r="BV252" s="98"/>
      <c r="BW252" s="98"/>
      <c r="BX252" s="98"/>
      <c r="BY252" s="98"/>
      <c r="BZ252" s="98"/>
      <c r="CA252" s="98"/>
    </row>
    <row r="253" ht="15.75" customHeight="1">
      <c r="A253" s="98"/>
      <c r="B253" s="98"/>
      <c r="C253" s="98"/>
      <c r="D253" s="98"/>
      <c r="E253" s="98"/>
      <c r="F253" s="98"/>
      <c r="G253" s="98"/>
      <c r="H253" s="98"/>
      <c r="I253" s="99"/>
      <c r="J253" s="99"/>
      <c r="K253" s="99"/>
      <c r="L253" s="99"/>
      <c r="M253" s="99"/>
      <c r="N253" s="99"/>
      <c r="O253" s="99"/>
      <c r="P253" s="99"/>
      <c r="Q253" s="99"/>
      <c r="R253" s="99"/>
      <c r="S253" s="98"/>
      <c r="T253" s="98"/>
      <c r="U253" s="98"/>
      <c r="V253" s="98"/>
      <c r="W253" s="98"/>
      <c r="X253" s="98"/>
      <c r="Y253" s="98"/>
      <c r="Z253" s="98"/>
      <c r="AA253" s="98"/>
      <c r="AB253" s="98"/>
      <c r="AC253" s="98"/>
      <c r="AD253" s="98"/>
      <c r="AE253" s="98"/>
      <c r="AF253" s="98"/>
      <c r="AG253" s="98"/>
      <c r="AH253" s="98"/>
      <c r="AI253" s="98"/>
      <c r="AJ253" s="98"/>
      <c r="AK253" s="98"/>
      <c r="AL253" s="98"/>
      <c r="AM253" s="98"/>
      <c r="AN253" s="98"/>
      <c r="AO253" s="98"/>
      <c r="AP253" s="98"/>
      <c r="AQ253" s="98"/>
      <c r="AR253" s="98"/>
      <c r="AS253" s="98"/>
      <c r="AT253" s="98"/>
      <c r="AU253" s="98"/>
      <c r="AV253" s="98"/>
      <c r="AW253" s="98"/>
      <c r="AX253" s="98"/>
      <c r="AY253" s="98"/>
      <c r="AZ253" s="98"/>
      <c r="BA253" s="98"/>
      <c r="BB253" s="98"/>
      <c r="BC253" s="98"/>
      <c r="BD253" s="98"/>
      <c r="BE253" s="98"/>
      <c r="BF253" s="98"/>
      <c r="BG253" s="98"/>
      <c r="BH253" s="98"/>
      <c r="BI253" s="98"/>
      <c r="BJ253" s="98"/>
      <c r="BK253" s="98"/>
      <c r="BL253" s="98"/>
      <c r="BM253" s="98"/>
      <c r="BN253" s="98"/>
      <c r="BO253" s="98"/>
      <c r="BP253" s="98"/>
      <c r="BQ253" s="98"/>
      <c r="BR253" s="98"/>
      <c r="BS253" s="98"/>
      <c r="BT253" s="98"/>
      <c r="BU253" s="98"/>
      <c r="BV253" s="98"/>
      <c r="BW253" s="98"/>
      <c r="BX253" s="98"/>
      <c r="BY253" s="98"/>
      <c r="BZ253" s="98"/>
      <c r="CA253" s="98"/>
    </row>
    <row r="254" ht="15.75" customHeight="1">
      <c r="A254" s="98"/>
      <c r="B254" s="98"/>
      <c r="C254" s="98"/>
      <c r="D254" s="98"/>
      <c r="E254" s="98"/>
      <c r="F254" s="98"/>
      <c r="G254" s="98"/>
      <c r="H254" s="98"/>
      <c r="I254" s="99"/>
      <c r="J254" s="99"/>
      <c r="K254" s="99"/>
      <c r="L254" s="99"/>
      <c r="M254" s="99"/>
      <c r="N254" s="99"/>
      <c r="O254" s="99"/>
      <c r="P254" s="99"/>
      <c r="Q254" s="99"/>
      <c r="R254" s="99"/>
      <c r="S254" s="98"/>
      <c r="T254" s="98"/>
      <c r="U254" s="98"/>
      <c r="V254" s="98"/>
      <c r="W254" s="98"/>
      <c r="X254" s="98"/>
      <c r="Y254" s="98"/>
      <c r="Z254" s="98"/>
      <c r="AA254" s="98"/>
      <c r="AB254" s="98"/>
      <c r="AC254" s="98"/>
      <c r="AD254" s="98"/>
      <c r="AE254" s="98"/>
      <c r="AF254" s="98"/>
      <c r="AG254" s="98"/>
      <c r="AH254" s="98"/>
      <c r="AI254" s="98"/>
      <c r="AJ254" s="98"/>
      <c r="AK254" s="98"/>
      <c r="AL254" s="98"/>
      <c r="AM254" s="98"/>
      <c r="AN254" s="98"/>
      <c r="AO254" s="98"/>
      <c r="AP254" s="98"/>
      <c r="AQ254" s="98"/>
      <c r="AR254" s="98"/>
      <c r="AS254" s="98"/>
      <c r="AT254" s="98"/>
      <c r="AU254" s="98"/>
      <c r="AV254" s="98"/>
      <c r="AW254" s="98"/>
      <c r="AX254" s="98"/>
      <c r="AY254" s="98"/>
      <c r="AZ254" s="98"/>
      <c r="BA254" s="98"/>
      <c r="BB254" s="98"/>
      <c r="BC254" s="98"/>
      <c r="BD254" s="98"/>
      <c r="BE254" s="98"/>
      <c r="BF254" s="98"/>
      <c r="BG254" s="98"/>
      <c r="BH254" s="98"/>
      <c r="BI254" s="98"/>
      <c r="BJ254" s="98"/>
      <c r="BK254" s="98"/>
      <c r="BL254" s="98"/>
      <c r="BM254" s="98"/>
      <c r="BN254" s="98"/>
      <c r="BO254" s="98"/>
      <c r="BP254" s="98"/>
      <c r="BQ254" s="98"/>
      <c r="BR254" s="98"/>
      <c r="BS254" s="98"/>
      <c r="BT254" s="98"/>
      <c r="BU254" s="98"/>
      <c r="BV254" s="98"/>
      <c r="BW254" s="98"/>
      <c r="BX254" s="98"/>
      <c r="BY254" s="98"/>
      <c r="BZ254" s="98"/>
      <c r="CA254" s="98"/>
    </row>
    <row r="255" ht="15.75" customHeight="1">
      <c r="A255" s="98"/>
      <c r="B255" s="98"/>
      <c r="C255" s="98"/>
      <c r="D255" s="98"/>
      <c r="E255" s="98"/>
      <c r="F255" s="98"/>
      <c r="G255" s="98"/>
      <c r="H255" s="98"/>
      <c r="I255" s="99"/>
      <c r="J255" s="99"/>
      <c r="K255" s="99"/>
      <c r="L255" s="99"/>
      <c r="M255" s="99"/>
      <c r="N255" s="99"/>
      <c r="O255" s="99"/>
      <c r="P255" s="99"/>
      <c r="Q255" s="99"/>
      <c r="R255" s="99"/>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c r="AP255" s="98"/>
      <c r="AQ255" s="98"/>
      <c r="AR255" s="98"/>
      <c r="AS255" s="98"/>
      <c r="AT255" s="98"/>
      <c r="AU255" s="98"/>
      <c r="AV255" s="98"/>
      <c r="AW255" s="98"/>
      <c r="AX255" s="98"/>
      <c r="AY255" s="98"/>
      <c r="AZ255" s="98"/>
      <c r="BA255" s="98"/>
      <c r="BB255" s="98"/>
      <c r="BC255" s="98"/>
      <c r="BD255" s="98"/>
      <c r="BE255" s="98"/>
      <c r="BF255" s="98"/>
      <c r="BG255" s="98"/>
      <c r="BH255" s="98"/>
      <c r="BI255" s="98"/>
      <c r="BJ255" s="98"/>
      <c r="BK255" s="98"/>
      <c r="BL255" s="98"/>
      <c r="BM255" s="98"/>
      <c r="BN255" s="98"/>
      <c r="BO255" s="98"/>
      <c r="BP255" s="98"/>
      <c r="BQ255" s="98"/>
      <c r="BR255" s="98"/>
      <c r="BS255" s="98"/>
      <c r="BT255" s="98"/>
      <c r="BU255" s="98"/>
      <c r="BV255" s="98"/>
      <c r="BW255" s="98"/>
      <c r="BX255" s="98"/>
      <c r="BY255" s="98"/>
      <c r="BZ255" s="98"/>
      <c r="CA255" s="98"/>
    </row>
    <row r="256" ht="15.75" customHeight="1">
      <c r="A256" s="98"/>
      <c r="B256" s="98"/>
      <c r="C256" s="98"/>
      <c r="D256" s="98"/>
      <c r="E256" s="98"/>
      <c r="F256" s="98"/>
      <c r="G256" s="98"/>
      <c r="H256" s="98"/>
      <c r="I256" s="99"/>
      <c r="J256" s="99"/>
      <c r="K256" s="99"/>
      <c r="L256" s="99"/>
      <c r="M256" s="99"/>
      <c r="N256" s="99"/>
      <c r="O256" s="99"/>
      <c r="P256" s="99"/>
      <c r="Q256" s="99"/>
      <c r="R256" s="99"/>
      <c r="S256" s="98"/>
      <c r="T256" s="98"/>
      <c r="U256" s="98"/>
      <c r="V256" s="98"/>
      <c r="W256" s="98"/>
      <c r="X256" s="98"/>
      <c r="Y256" s="98"/>
      <c r="Z256" s="98"/>
      <c r="AA256" s="98"/>
      <c r="AB256" s="98"/>
      <c r="AC256" s="98"/>
      <c r="AD256" s="98"/>
      <c r="AE256" s="98"/>
      <c r="AF256" s="98"/>
      <c r="AG256" s="98"/>
      <c r="AH256" s="98"/>
      <c r="AI256" s="98"/>
      <c r="AJ256" s="98"/>
      <c r="AK256" s="98"/>
      <c r="AL256" s="98"/>
      <c r="AM256" s="98"/>
      <c r="AN256" s="98"/>
      <c r="AO256" s="98"/>
      <c r="AP256" s="98"/>
      <c r="AQ256" s="98"/>
      <c r="AR256" s="98"/>
      <c r="AS256" s="98"/>
      <c r="AT256" s="98"/>
      <c r="AU256" s="98"/>
      <c r="AV256" s="98"/>
      <c r="AW256" s="98"/>
      <c r="AX256" s="98"/>
      <c r="AY256" s="98"/>
      <c r="AZ256" s="98"/>
      <c r="BA256" s="98"/>
      <c r="BB256" s="98"/>
      <c r="BC256" s="98"/>
      <c r="BD256" s="98"/>
      <c r="BE256" s="98"/>
      <c r="BF256" s="98"/>
      <c r="BG256" s="98"/>
      <c r="BH256" s="98"/>
      <c r="BI256" s="98"/>
      <c r="BJ256" s="98"/>
      <c r="BK256" s="98"/>
      <c r="BL256" s="98"/>
      <c r="BM256" s="98"/>
      <c r="BN256" s="98"/>
      <c r="BO256" s="98"/>
      <c r="BP256" s="98"/>
      <c r="BQ256" s="98"/>
      <c r="BR256" s="98"/>
      <c r="BS256" s="98"/>
      <c r="BT256" s="98"/>
      <c r="BU256" s="98"/>
      <c r="BV256" s="98"/>
      <c r="BW256" s="98"/>
      <c r="BX256" s="98"/>
      <c r="BY256" s="98"/>
      <c r="BZ256" s="98"/>
      <c r="CA256" s="98"/>
    </row>
    <row r="257" ht="15.75" customHeight="1">
      <c r="A257" s="98"/>
      <c r="B257" s="98"/>
      <c r="C257" s="98"/>
      <c r="D257" s="98"/>
      <c r="E257" s="98"/>
      <c r="F257" s="98"/>
      <c r="G257" s="98"/>
      <c r="H257" s="98"/>
      <c r="I257" s="99"/>
      <c r="J257" s="99"/>
      <c r="K257" s="99"/>
      <c r="L257" s="99"/>
      <c r="M257" s="99"/>
      <c r="N257" s="99"/>
      <c r="O257" s="99"/>
      <c r="P257" s="99"/>
      <c r="Q257" s="99"/>
      <c r="R257" s="99"/>
      <c r="S257" s="98"/>
      <c r="T257" s="98"/>
      <c r="U257" s="98"/>
      <c r="V257" s="98"/>
      <c r="W257" s="98"/>
      <c r="X257" s="98"/>
      <c r="Y257" s="98"/>
      <c r="Z257" s="98"/>
      <c r="AA257" s="98"/>
      <c r="AB257" s="98"/>
      <c r="AC257" s="98"/>
      <c r="AD257" s="98"/>
      <c r="AE257" s="98"/>
      <c r="AF257" s="98"/>
      <c r="AG257" s="98"/>
      <c r="AH257" s="98"/>
      <c r="AI257" s="98"/>
      <c r="AJ257" s="98"/>
      <c r="AK257" s="98"/>
      <c r="AL257" s="98"/>
      <c r="AM257" s="98"/>
      <c r="AN257" s="98"/>
      <c r="AO257" s="98"/>
      <c r="AP257" s="98"/>
      <c r="AQ257" s="98"/>
      <c r="AR257" s="98"/>
      <c r="AS257" s="98"/>
      <c r="AT257" s="98"/>
      <c r="AU257" s="98"/>
      <c r="AV257" s="98"/>
      <c r="AW257" s="98"/>
      <c r="AX257" s="98"/>
      <c r="AY257" s="98"/>
      <c r="AZ257" s="98"/>
      <c r="BA257" s="98"/>
      <c r="BB257" s="98"/>
      <c r="BC257" s="98"/>
      <c r="BD257" s="98"/>
      <c r="BE257" s="98"/>
      <c r="BF257" s="98"/>
      <c r="BG257" s="98"/>
      <c r="BH257" s="98"/>
      <c r="BI257" s="98"/>
      <c r="BJ257" s="98"/>
      <c r="BK257" s="98"/>
      <c r="BL257" s="98"/>
      <c r="BM257" s="98"/>
      <c r="BN257" s="98"/>
      <c r="BO257" s="98"/>
      <c r="BP257" s="98"/>
      <c r="BQ257" s="98"/>
      <c r="BR257" s="98"/>
      <c r="BS257" s="98"/>
      <c r="BT257" s="98"/>
      <c r="BU257" s="98"/>
      <c r="BV257" s="98"/>
      <c r="BW257" s="98"/>
      <c r="BX257" s="98"/>
      <c r="BY257" s="98"/>
      <c r="BZ257" s="98"/>
      <c r="CA257" s="98"/>
    </row>
    <row r="258" ht="15.75" customHeight="1">
      <c r="A258" s="98"/>
      <c r="B258" s="98"/>
      <c r="C258" s="98"/>
      <c r="D258" s="98"/>
      <c r="E258" s="98"/>
      <c r="F258" s="98"/>
      <c r="G258" s="98"/>
      <c r="H258" s="98"/>
      <c r="I258" s="99"/>
      <c r="J258" s="99"/>
      <c r="K258" s="99"/>
      <c r="L258" s="99"/>
      <c r="M258" s="99"/>
      <c r="N258" s="99"/>
      <c r="O258" s="99"/>
      <c r="P258" s="99"/>
      <c r="Q258" s="99"/>
      <c r="R258" s="99"/>
      <c r="S258" s="98"/>
      <c r="T258" s="98"/>
      <c r="U258" s="98"/>
      <c r="V258" s="98"/>
      <c r="W258" s="98"/>
      <c r="X258" s="98"/>
      <c r="Y258" s="98"/>
      <c r="Z258" s="98"/>
      <c r="AA258" s="98"/>
      <c r="AB258" s="98"/>
      <c r="AC258" s="98"/>
      <c r="AD258" s="98"/>
      <c r="AE258" s="98"/>
      <c r="AF258" s="98"/>
      <c r="AG258" s="98"/>
      <c r="AH258" s="98"/>
      <c r="AI258" s="98"/>
      <c r="AJ258" s="98"/>
      <c r="AK258" s="98"/>
      <c r="AL258" s="98"/>
      <c r="AM258" s="98"/>
      <c r="AN258" s="98"/>
      <c r="AO258" s="98"/>
      <c r="AP258" s="98"/>
      <c r="AQ258" s="98"/>
      <c r="AR258" s="98"/>
      <c r="AS258" s="98"/>
      <c r="AT258" s="98"/>
      <c r="AU258" s="98"/>
      <c r="AV258" s="98"/>
      <c r="AW258" s="98"/>
      <c r="AX258" s="98"/>
      <c r="AY258" s="98"/>
      <c r="AZ258" s="98"/>
      <c r="BA258" s="98"/>
      <c r="BB258" s="98"/>
      <c r="BC258" s="98"/>
      <c r="BD258" s="98"/>
      <c r="BE258" s="98"/>
      <c r="BF258" s="98"/>
      <c r="BG258" s="98"/>
      <c r="BH258" s="98"/>
      <c r="BI258" s="98"/>
      <c r="BJ258" s="98"/>
      <c r="BK258" s="98"/>
      <c r="BL258" s="98"/>
      <c r="BM258" s="98"/>
      <c r="BN258" s="98"/>
      <c r="BO258" s="98"/>
      <c r="BP258" s="98"/>
      <c r="BQ258" s="98"/>
      <c r="BR258" s="98"/>
      <c r="BS258" s="98"/>
      <c r="BT258" s="98"/>
      <c r="BU258" s="98"/>
      <c r="BV258" s="98"/>
      <c r="BW258" s="98"/>
      <c r="BX258" s="98"/>
      <c r="BY258" s="98"/>
      <c r="BZ258" s="98"/>
      <c r="CA258" s="98"/>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1">
    <mergeCell ref="V31:V32"/>
    <mergeCell ref="W31:W32"/>
    <mergeCell ref="X31:X32"/>
    <mergeCell ref="Y31:Y32"/>
    <mergeCell ref="Z31:Z32"/>
    <mergeCell ref="AA31:AA32"/>
    <mergeCell ref="AB31:AB32"/>
    <mergeCell ref="AC31:AC32"/>
    <mergeCell ref="AD31:AD32"/>
    <mergeCell ref="AE31:AE32"/>
    <mergeCell ref="AF31:AF32"/>
    <mergeCell ref="AG31:AG32"/>
    <mergeCell ref="AH31:AH32"/>
    <mergeCell ref="AI31:AI32"/>
    <mergeCell ref="T21:T22"/>
    <mergeCell ref="U21:U22"/>
    <mergeCell ref="Z24:AB24"/>
    <mergeCell ref="AV21:AV22"/>
    <mergeCell ref="AU21:AU22"/>
    <mergeCell ref="AV31:AV32"/>
    <mergeCell ref="AU31:AU32"/>
    <mergeCell ref="H21:H22"/>
    <mergeCell ref="I21:I22"/>
    <mergeCell ref="B23:B25"/>
    <mergeCell ref="B26:E26"/>
    <mergeCell ref="C31:C32"/>
    <mergeCell ref="B30:AS30"/>
    <mergeCell ref="AT21:AT22"/>
    <mergeCell ref="AT31:AT32"/>
    <mergeCell ref="AL31:AL32"/>
    <mergeCell ref="AM31:AM32"/>
    <mergeCell ref="AN31:AN32"/>
    <mergeCell ref="AO31:AO32"/>
    <mergeCell ref="AP31:AP32"/>
    <mergeCell ref="AQ31:AQ32"/>
    <mergeCell ref="AR31:AR32"/>
    <mergeCell ref="AS31:AS32"/>
    <mergeCell ref="R41:R42"/>
    <mergeCell ref="S41:S42"/>
    <mergeCell ref="Z44:AB44"/>
    <mergeCell ref="AO41:AO42"/>
    <mergeCell ref="AP41:AP42"/>
    <mergeCell ref="AQ41:AQ42"/>
    <mergeCell ref="AR41:AR42"/>
    <mergeCell ref="AS41:AS42"/>
    <mergeCell ref="T41:T42"/>
    <mergeCell ref="U41:U42"/>
    <mergeCell ref="AJ41:AJ42"/>
    <mergeCell ref="AK41:AK42"/>
    <mergeCell ref="AL41:AL42"/>
    <mergeCell ref="AM41:AM42"/>
    <mergeCell ref="AN41:AN42"/>
    <mergeCell ref="B31:B32"/>
    <mergeCell ref="B33:B35"/>
    <mergeCell ref="B36:E36"/>
    <mergeCell ref="B41:B42"/>
    <mergeCell ref="C41:C42"/>
    <mergeCell ref="D41:D42"/>
    <mergeCell ref="E41:E42"/>
    <mergeCell ref="AJ31:AJ32"/>
    <mergeCell ref="AK31:AK32"/>
    <mergeCell ref="Z34:AB34"/>
    <mergeCell ref="O41:O42"/>
    <mergeCell ref="P41:P42"/>
    <mergeCell ref="Q41:Q42"/>
    <mergeCell ref="B50:AS50"/>
    <mergeCell ref="B40:AS40"/>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BH41:BJ41"/>
    <mergeCell ref="AV41:AV42"/>
    <mergeCell ref="AU41:AU42"/>
    <mergeCell ref="AT41:AT42"/>
    <mergeCell ref="AP51:AP52"/>
    <mergeCell ref="AQ51:AQ52"/>
    <mergeCell ref="AR51:AR52"/>
    <mergeCell ref="AS51:AS52"/>
    <mergeCell ref="BH51:BJ51"/>
    <mergeCell ref="AV51:AV52"/>
    <mergeCell ref="AU51:AU52"/>
    <mergeCell ref="AT51:AT52"/>
    <mergeCell ref="AI51:AI52"/>
    <mergeCell ref="AJ51:AJ52"/>
    <mergeCell ref="AK51:AK52"/>
    <mergeCell ref="AL51:AL52"/>
    <mergeCell ref="AM51:AM52"/>
    <mergeCell ref="AN51:AN52"/>
    <mergeCell ref="AO51:AO52"/>
    <mergeCell ref="M41:M42"/>
    <mergeCell ref="N41:N42"/>
    <mergeCell ref="F41:F42"/>
    <mergeCell ref="G41:G42"/>
    <mergeCell ref="H41:H42"/>
    <mergeCell ref="I41:I42"/>
    <mergeCell ref="J41:J42"/>
    <mergeCell ref="K41:K42"/>
    <mergeCell ref="L41:L42"/>
    <mergeCell ref="G51:G52"/>
    <mergeCell ref="H51:H52"/>
    <mergeCell ref="I51:I52"/>
    <mergeCell ref="J51:J52"/>
    <mergeCell ref="K51:K52"/>
    <mergeCell ref="L51:L52"/>
    <mergeCell ref="M51:M52"/>
    <mergeCell ref="N51:N52"/>
    <mergeCell ref="O51:O52"/>
    <mergeCell ref="P51:P52"/>
    <mergeCell ref="Q51:Q52"/>
    <mergeCell ref="R51:R52"/>
    <mergeCell ref="S51:S52"/>
    <mergeCell ref="T51:T52"/>
    <mergeCell ref="U51:U52"/>
    <mergeCell ref="V51:V52"/>
    <mergeCell ref="W51:W52"/>
    <mergeCell ref="X51:X52"/>
    <mergeCell ref="Y51:Y52"/>
    <mergeCell ref="Z51:Z52"/>
    <mergeCell ref="AA51:AA52"/>
    <mergeCell ref="Z54:AB54"/>
    <mergeCell ref="AB51:AB52"/>
    <mergeCell ref="AC51:AC52"/>
    <mergeCell ref="AD51:AD52"/>
    <mergeCell ref="AE51:AE52"/>
    <mergeCell ref="AF51:AF52"/>
    <mergeCell ref="AG51:AG52"/>
    <mergeCell ref="AH51:AH52"/>
    <mergeCell ref="B53:B55"/>
    <mergeCell ref="B56:E56"/>
    <mergeCell ref="B43:B45"/>
    <mergeCell ref="B46:E46"/>
    <mergeCell ref="B51:B52"/>
    <mergeCell ref="C51:C52"/>
    <mergeCell ref="D51:D52"/>
    <mergeCell ref="E51:E52"/>
    <mergeCell ref="F51:F52"/>
    <mergeCell ref="AI11:AI12"/>
    <mergeCell ref="AJ11:AJ12"/>
    <mergeCell ref="AK11:AK12"/>
    <mergeCell ref="AL11:AL12"/>
    <mergeCell ref="AM11:AM12"/>
    <mergeCell ref="AN11:AN12"/>
    <mergeCell ref="AO11:AO12"/>
    <mergeCell ref="AP11:AP12"/>
    <mergeCell ref="AQ11:AQ12"/>
    <mergeCell ref="AR11:AR12"/>
    <mergeCell ref="M2:T5"/>
    <mergeCell ref="B11:B12"/>
    <mergeCell ref="C11:C12"/>
    <mergeCell ref="D11:D12"/>
    <mergeCell ref="E11:E12"/>
    <mergeCell ref="F11:F12"/>
    <mergeCell ref="B10:AS10"/>
    <mergeCell ref="AS11:AS12"/>
    <mergeCell ref="U11:U12"/>
    <mergeCell ref="V11:V12"/>
    <mergeCell ref="W11:W12"/>
    <mergeCell ref="X11:X12"/>
    <mergeCell ref="Y11:Y12"/>
    <mergeCell ref="Z11:Z12"/>
    <mergeCell ref="AA11:AA12"/>
    <mergeCell ref="AB11:AB12"/>
    <mergeCell ref="AC11:AC12"/>
    <mergeCell ref="AD11:AD12"/>
    <mergeCell ref="AE11:AE12"/>
    <mergeCell ref="AF11:AF12"/>
    <mergeCell ref="AG11:AG12"/>
    <mergeCell ref="AH11:AH12"/>
    <mergeCell ref="BH11:BJ11"/>
    <mergeCell ref="AV11:AV12"/>
    <mergeCell ref="AU11:AU12"/>
    <mergeCell ref="AT11:AT12"/>
    <mergeCell ref="I11:I12"/>
    <mergeCell ref="J11:J12"/>
    <mergeCell ref="K11:K12"/>
    <mergeCell ref="L11:L12"/>
    <mergeCell ref="M11:M12"/>
    <mergeCell ref="N11:N12"/>
    <mergeCell ref="O11:O12"/>
    <mergeCell ref="P11:P12"/>
    <mergeCell ref="Q11:Q12"/>
    <mergeCell ref="R11:R12"/>
    <mergeCell ref="D21:D22"/>
    <mergeCell ref="E21:E22"/>
    <mergeCell ref="F21:F22"/>
    <mergeCell ref="G21:G22"/>
    <mergeCell ref="S11:S12"/>
    <mergeCell ref="T11:T12"/>
    <mergeCell ref="Z14:AB14"/>
    <mergeCell ref="AJ21:AJ22"/>
    <mergeCell ref="AK21:AK22"/>
    <mergeCell ref="AL21:AL22"/>
    <mergeCell ref="AM21:AM22"/>
    <mergeCell ref="AN21:AN22"/>
    <mergeCell ref="AO21:AO22"/>
    <mergeCell ref="AP21:AP22"/>
    <mergeCell ref="AQ21:AQ22"/>
    <mergeCell ref="AR21:AR22"/>
    <mergeCell ref="AS21:AS22"/>
    <mergeCell ref="G11:G12"/>
    <mergeCell ref="H11:H12"/>
    <mergeCell ref="B13:B15"/>
    <mergeCell ref="B16:E16"/>
    <mergeCell ref="B21:B22"/>
    <mergeCell ref="C21:C22"/>
    <mergeCell ref="B20:AS20"/>
    <mergeCell ref="V21:V22"/>
    <mergeCell ref="W21:W22"/>
    <mergeCell ref="X21:X22"/>
    <mergeCell ref="Y21:Y22"/>
    <mergeCell ref="Z21:Z22"/>
    <mergeCell ref="AA21:AA22"/>
    <mergeCell ref="AB21:AB22"/>
    <mergeCell ref="AC21:AC22"/>
    <mergeCell ref="AD21:AD22"/>
    <mergeCell ref="AE21:AE22"/>
    <mergeCell ref="AF21:AF22"/>
    <mergeCell ref="AG21:AG22"/>
    <mergeCell ref="AH21:AH22"/>
    <mergeCell ref="AI21:AI22"/>
    <mergeCell ref="BH21:BJ21"/>
    <mergeCell ref="J21:J22"/>
    <mergeCell ref="K21:K22"/>
    <mergeCell ref="L21:L22"/>
    <mergeCell ref="M21:M22"/>
    <mergeCell ref="N21:N22"/>
    <mergeCell ref="O21:O22"/>
    <mergeCell ref="P21:P22"/>
    <mergeCell ref="Q21:Q22"/>
    <mergeCell ref="R21:R22"/>
    <mergeCell ref="S21:S22"/>
    <mergeCell ref="D31:D32"/>
    <mergeCell ref="E31:E32"/>
    <mergeCell ref="F31:F32"/>
    <mergeCell ref="G31:G32"/>
    <mergeCell ref="H31:H32"/>
    <mergeCell ref="I31:I32"/>
    <mergeCell ref="J31:J32"/>
    <mergeCell ref="K31:K32"/>
    <mergeCell ref="L31:L32"/>
    <mergeCell ref="M31:M32"/>
    <mergeCell ref="N31:N32"/>
    <mergeCell ref="O31:O32"/>
    <mergeCell ref="P31:P32"/>
    <mergeCell ref="Q31:Q32"/>
    <mergeCell ref="R31:R32"/>
    <mergeCell ref="S31:S32"/>
    <mergeCell ref="T31:T32"/>
    <mergeCell ref="U31:U32"/>
    <mergeCell ref="BH31:BJ31"/>
  </mergeCells>
  <printOptions gridLines="1" horizontalCentered="1"/>
  <pageMargins bottom="0.75" footer="0.0" header="0.0" left="0.25" right="0.25" top="0.75"/>
  <pageSetup fitToHeight="0" paperSize="8"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sheetViews>
  <sheetFormatPr customHeight="1" defaultColWidth="12.63" defaultRowHeight="15.0"/>
  <cols>
    <col customWidth="1" min="1" max="1" width="3.13"/>
    <col customWidth="1" min="2" max="2" width="24.63"/>
    <col customWidth="1" min="3" max="3" width="29.63"/>
    <col customWidth="1" min="4" max="17" width="17.13"/>
    <col customWidth="1" min="18" max="18" width="13.38"/>
    <col customWidth="1" min="19" max="19" width="16.38"/>
    <col customWidth="1" min="20" max="20" width="16.0"/>
    <col customWidth="1" min="21" max="21" width="13.38"/>
    <col customWidth="1" min="22" max="22" width="16.38"/>
    <col customWidth="1" min="23" max="23" width="16.0"/>
    <col customWidth="1" min="24" max="25" width="15.0"/>
    <col customWidth="1" min="26" max="29" width="17.88"/>
    <col customWidth="1" min="30" max="33" width="18.63"/>
    <col customWidth="1" hidden="1" min="34" max="34" width="9.5"/>
    <col customWidth="1" min="35" max="38" width="18.63"/>
    <col customWidth="1" hidden="1" min="39" max="39" width="9.5"/>
    <col customWidth="1" min="40" max="43" width="18.63"/>
    <col customWidth="1" hidden="1" min="44" max="44" width="9.5"/>
    <col customWidth="1" min="45" max="48" width="18.63"/>
    <col customWidth="1" hidden="1" min="49" max="49" width="18.63"/>
    <col customWidth="1" min="50" max="52" width="18.63"/>
    <col customWidth="1" min="53" max="56" width="9.5"/>
    <col customWidth="1" min="57" max="62" width="3.88"/>
    <col customWidth="1" hidden="1" min="63" max="81" width="12.63"/>
  </cols>
  <sheetData>
    <row r="1" ht="18.0" customHeight="1">
      <c r="A1" s="1"/>
      <c r="B1" s="2"/>
      <c r="C1" s="2"/>
      <c r="D1" s="2"/>
      <c r="E1" s="2"/>
      <c r="F1" s="2"/>
      <c r="G1" s="2"/>
      <c r="H1" s="2"/>
      <c r="I1" s="3"/>
      <c r="J1" s="3"/>
      <c r="K1" s="3"/>
      <c r="L1" s="3" t="s">
        <v>0</v>
      </c>
      <c r="M1" s="3"/>
      <c r="N1" s="3"/>
      <c r="O1" s="3"/>
      <c r="P1" s="119"/>
      <c r="Q1" s="120"/>
      <c r="R1" s="120"/>
      <c r="S1" s="120"/>
      <c r="T1" s="121"/>
      <c r="U1" s="120"/>
      <c r="V1" s="120"/>
      <c r="W1" s="121"/>
      <c r="X1" s="2"/>
      <c r="Y1" s="2"/>
      <c r="Z1" s="2"/>
      <c r="AA1" s="2"/>
      <c r="AB1" s="2"/>
      <c r="AC1" s="2"/>
      <c r="AD1" s="2"/>
      <c r="AE1" s="2"/>
      <c r="AF1" s="2"/>
      <c r="AG1" s="2"/>
      <c r="AH1" s="2"/>
      <c r="AI1" s="2"/>
      <c r="AJ1" s="2"/>
      <c r="AK1" s="2"/>
      <c r="AL1" s="2"/>
      <c r="AM1" s="122"/>
      <c r="AN1" s="2"/>
      <c r="AO1" s="2"/>
      <c r="AP1" s="2"/>
      <c r="AQ1" s="2"/>
      <c r="AR1" s="5"/>
      <c r="AS1" s="2"/>
      <c r="AT1" s="2"/>
      <c r="AU1" s="2"/>
      <c r="AV1" s="2"/>
      <c r="AW1" s="5"/>
      <c r="AX1" s="5"/>
      <c r="AY1" s="5"/>
      <c r="AZ1" s="5"/>
      <c r="BA1" s="5"/>
      <c r="BB1" s="5"/>
      <c r="BC1" s="5"/>
      <c r="BD1" s="5"/>
      <c r="BE1" s="2"/>
      <c r="BF1" s="6"/>
      <c r="BG1" s="6"/>
      <c r="BH1" s="6"/>
      <c r="BI1" s="6"/>
      <c r="BJ1" s="6"/>
      <c r="BK1" s="7"/>
      <c r="BL1" s="7"/>
      <c r="BM1" s="7"/>
      <c r="BN1" s="7"/>
      <c r="BO1" s="7"/>
      <c r="BP1" s="7"/>
      <c r="BQ1" s="7"/>
      <c r="BR1" s="7"/>
      <c r="BS1" s="7"/>
      <c r="BT1" s="7"/>
      <c r="BU1" s="7"/>
      <c r="BV1" s="7"/>
      <c r="BW1" s="7"/>
      <c r="BX1" s="7"/>
      <c r="BY1" s="7"/>
      <c r="BZ1" s="7"/>
      <c r="CA1" s="7"/>
      <c r="CB1" s="7"/>
      <c r="CC1" s="7"/>
    </row>
    <row r="2" ht="30.0" customHeight="1">
      <c r="A2" s="2"/>
      <c r="B2" s="8" t="s">
        <v>1</v>
      </c>
      <c r="C2" s="9" t="s">
        <v>2</v>
      </c>
      <c r="D2" s="10"/>
      <c r="E2" s="11"/>
      <c r="F2" s="12"/>
      <c r="G2" s="12"/>
      <c r="H2" s="12"/>
      <c r="I2" s="13"/>
      <c r="J2" s="13"/>
      <c r="K2" s="14"/>
      <c r="L2" s="14"/>
      <c r="M2" s="13"/>
      <c r="N2" s="13"/>
      <c r="O2" s="14"/>
      <c r="P2" s="123"/>
      <c r="Q2" s="14"/>
      <c r="R2" s="14"/>
      <c r="S2" s="14"/>
      <c r="T2" s="15"/>
      <c r="U2" s="14"/>
      <c r="V2" s="14"/>
      <c r="W2" s="15"/>
      <c r="X2" s="15"/>
      <c r="Y2" s="15"/>
      <c r="Z2" s="15"/>
      <c r="AA2" s="15"/>
      <c r="AB2" s="15"/>
      <c r="AC2" s="15"/>
      <c r="AD2" s="15"/>
      <c r="AE2" s="15"/>
      <c r="AF2" s="15"/>
      <c r="AG2" s="15"/>
      <c r="AH2" s="15"/>
      <c r="AI2" s="15"/>
      <c r="AJ2" s="15"/>
      <c r="AK2" s="15"/>
      <c r="AL2" s="15"/>
      <c r="AM2" s="122"/>
      <c r="AN2" s="15"/>
      <c r="AO2" s="15"/>
      <c r="AP2" s="15"/>
      <c r="AQ2" s="15"/>
      <c r="AR2" s="5"/>
      <c r="AS2" s="15"/>
      <c r="AT2" s="15"/>
      <c r="AU2" s="15"/>
      <c r="AV2" s="15"/>
      <c r="AW2" s="5"/>
      <c r="AX2" s="5"/>
      <c r="AY2" s="5"/>
      <c r="AZ2" s="5"/>
      <c r="BA2" s="5"/>
      <c r="BB2" s="5"/>
      <c r="BC2" s="5"/>
      <c r="BD2" s="5"/>
      <c r="BE2" s="2"/>
      <c r="BF2" s="6"/>
      <c r="BG2" s="6"/>
      <c r="BH2" s="6"/>
      <c r="BI2" s="6"/>
      <c r="BJ2" s="6"/>
      <c r="BK2" s="7"/>
      <c r="BL2" s="7"/>
      <c r="BM2" s="7"/>
      <c r="BN2" s="7"/>
      <c r="BO2" s="7"/>
      <c r="BP2" s="7"/>
      <c r="BQ2" s="7"/>
      <c r="BR2" s="7"/>
      <c r="BS2" s="7"/>
      <c r="BT2" s="7"/>
      <c r="BU2" s="7"/>
      <c r="BV2" s="7"/>
      <c r="BW2" s="7"/>
      <c r="BX2" s="7"/>
      <c r="BY2" s="7"/>
      <c r="BZ2" s="7"/>
      <c r="CA2" s="7"/>
      <c r="CB2" s="7"/>
      <c r="CC2" s="7"/>
    </row>
    <row r="3" ht="30.0" customHeight="1">
      <c r="A3" s="2"/>
      <c r="B3" s="16" t="s">
        <v>3</v>
      </c>
      <c r="C3" s="17" t="s">
        <v>4</v>
      </c>
      <c r="D3" s="10"/>
      <c r="E3" s="11"/>
      <c r="F3" s="12"/>
      <c r="G3" s="12"/>
      <c r="H3" s="12"/>
      <c r="I3" s="10"/>
      <c r="J3" s="10"/>
      <c r="K3" s="104"/>
      <c r="L3" s="104"/>
      <c r="M3" s="18" t="str">
        <f>IFERROR(__xludf.DUMMYFUNCTION("AI(""i need you to act like a best in class media planner, can you summarise the story we're seeing here across reach and frequency across audiences between months"",C13:W15)"),"Here's a summary of the story across reach and frequency for each audience segment:  * **Audience:** Reach and frequency remain relatively stable from February to April, with a slight decrease in May and June.
  * **Contextual:** Reach shows a decreasing "&amp;"trend from February to June, while frequency remains consistent.
  * **Subscribers:** Reach and frequency show a decreasing trend from February to June.")</f>
        <v>Here's a summary of the story across reach and frequency for each audience segment:  * **Audience:** Reach and frequency remain relatively stable from February to April, with a slight decrease in May and June.
  * **Contextual:** Reach shows a decreasing trend from February to June, while frequency remains consistent.
  * **Subscribers:** Reach and frequency show a decreasing trend from February to June.</v>
      </c>
      <c r="N3" s="19"/>
      <c r="O3" s="19"/>
      <c r="P3" s="19"/>
      <c r="Q3" s="19"/>
      <c r="R3" s="19"/>
      <c r="S3" s="19"/>
      <c r="T3" s="20"/>
      <c r="U3" s="12"/>
      <c r="V3" s="15"/>
      <c r="W3" s="15"/>
      <c r="X3" s="15"/>
      <c r="Y3" s="15"/>
      <c r="Z3" s="15"/>
      <c r="AA3" s="15"/>
      <c r="AB3" s="15"/>
      <c r="AC3" s="15"/>
      <c r="AD3" s="15"/>
      <c r="AE3" s="15"/>
      <c r="AF3" s="15"/>
      <c r="AG3" s="15"/>
      <c r="AH3" s="15"/>
      <c r="AI3" s="15"/>
      <c r="AJ3" s="15"/>
      <c r="AK3" s="15"/>
      <c r="AL3" s="15"/>
      <c r="AM3" s="122"/>
      <c r="AN3" s="15"/>
      <c r="AO3" s="15"/>
      <c r="AP3" s="15"/>
      <c r="AQ3" s="15"/>
      <c r="AR3" s="5"/>
      <c r="AS3" s="15"/>
      <c r="AT3" s="15"/>
      <c r="AU3" s="15"/>
      <c r="AV3" s="15"/>
      <c r="AW3" s="5"/>
      <c r="AX3" s="5"/>
      <c r="AY3" s="5"/>
      <c r="AZ3" s="5"/>
      <c r="BA3" s="5"/>
      <c r="BB3" s="5"/>
      <c r="BC3" s="5"/>
      <c r="BD3" s="5"/>
      <c r="BE3" s="2"/>
      <c r="BF3" s="6"/>
      <c r="BG3" s="6"/>
      <c r="BH3" s="6"/>
      <c r="BI3" s="6"/>
      <c r="BJ3" s="6"/>
      <c r="BK3" s="7"/>
      <c r="BL3" s="7"/>
      <c r="BM3" s="7"/>
      <c r="BN3" s="7"/>
      <c r="BO3" s="7"/>
      <c r="BP3" s="7"/>
      <c r="BQ3" s="7"/>
      <c r="BR3" s="7"/>
      <c r="BS3" s="7"/>
      <c r="BT3" s="7"/>
      <c r="BU3" s="7"/>
      <c r="BV3" s="7"/>
      <c r="BW3" s="7"/>
      <c r="BX3" s="7"/>
      <c r="BY3" s="7"/>
      <c r="BZ3" s="7"/>
      <c r="CA3" s="7"/>
      <c r="CB3" s="7"/>
      <c r="CC3" s="7"/>
    </row>
    <row r="4" ht="30.0" customHeight="1">
      <c r="A4" s="2"/>
      <c r="B4" s="16" t="s">
        <v>5</v>
      </c>
      <c r="C4" s="17" t="s">
        <v>6</v>
      </c>
      <c r="D4" s="10"/>
      <c r="E4" s="11"/>
      <c r="F4" s="21"/>
      <c r="G4" s="21"/>
      <c r="H4" s="21"/>
      <c r="I4" s="10"/>
      <c r="J4" s="10"/>
      <c r="K4" s="104"/>
      <c r="L4" s="104"/>
      <c r="M4" s="22"/>
      <c r="T4" s="23"/>
      <c r="U4" s="12"/>
      <c r="V4" s="24"/>
      <c r="W4" s="15"/>
      <c r="X4" s="15"/>
      <c r="Y4" s="15"/>
      <c r="Z4" s="15"/>
      <c r="AA4" s="15"/>
      <c r="AB4" s="15"/>
      <c r="AC4" s="15"/>
      <c r="AD4" s="15"/>
      <c r="AE4" s="15"/>
      <c r="AF4" s="15"/>
      <c r="AG4" s="15"/>
      <c r="AH4" s="25"/>
      <c r="AI4" s="15"/>
      <c r="AJ4" s="15"/>
      <c r="AK4" s="15"/>
      <c r="AL4" s="15"/>
      <c r="AM4" s="122"/>
      <c r="AN4" s="15"/>
      <c r="AO4" s="15"/>
      <c r="AP4" s="15"/>
      <c r="AQ4" s="15"/>
      <c r="AR4" s="5"/>
      <c r="AS4" s="15"/>
      <c r="AT4" s="15"/>
      <c r="AU4" s="15"/>
      <c r="AV4" s="15"/>
      <c r="AW4" s="5"/>
      <c r="AX4" s="5"/>
      <c r="AY4" s="5"/>
      <c r="AZ4" s="5"/>
      <c r="BA4" s="5"/>
      <c r="BB4" s="5"/>
      <c r="BC4" s="5"/>
      <c r="BD4" s="5"/>
      <c r="BE4" s="2"/>
      <c r="BF4" s="6"/>
      <c r="BG4" s="6"/>
      <c r="BH4" s="6"/>
      <c r="BI4" s="6"/>
      <c r="BJ4" s="6"/>
      <c r="BK4" s="7"/>
      <c r="BL4" s="7"/>
      <c r="BM4" s="7"/>
      <c r="BN4" s="7"/>
      <c r="BO4" s="7"/>
      <c r="BP4" s="7"/>
      <c r="BQ4" s="7"/>
      <c r="BR4" s="7"/>
      <c r="BS4" s="7"/>
      <c r="BT4" s="7"/>
      <c r="BU4" s="7"/>
      <c r="BV4" s="7"/>
      <c r="BW4" s="7"/>
      <c r="BX4" s="7"/>
      <c r="BY4" s="7"/>
      <c r="BZ4" s="7"/>
      <c r="CA4" s="7"/>
      <c r="CB4" s="7"/>
      <c r="CC4" s="7"/>
    </row>
    <row r="5" ht="30.0" customHeight="1">
      <c r="A5" s="2"/>
      <c r="B5" s="16" t="s">
        <v>7</v>
      </c>
      <c r="C5" s="17" t="s">
        <v>8</v>
      </c>
      <c r="D5" s="10"/>
      <c r="E5" s="11"/>
      <c r="F5" s="10"/>
      <c r="G5" s="10"/>
      <c r="H5" s="10"/>
      <c r="I5" s="10"/>
      <c r="J5" s="10"/>
      <c r="K5" s="104"/>
      <c r="L5" s="104"/>
      <c r="M5" s="22"/>
      <c r="T5" s="23"/>
      <c r="U5" s="12"/>
      <c r="V5" s="14"/>
      <c r="W5" s="15"/>
      <c r="X5" s="15"/>
      <c r="Y5" s="15"/>
      <c r="Z5" s="15"/>
      <c r="AA5" s="15"/>
      <c r="AB5" s="15"/>
      <c r="AC5" s="15"/>
      <c r="AD5" s="15"/>
      <c r="AE5" s="15"/>
      <c r="AF5" s="15"/>
      <c r="AG5" s="15"/>
      <c r="AH5" s="15"/>
      <c r="AI5" s="15"/>
      <c r="AJ5" s="15"/>
      <c r="AK5" s="15"/>
      <c r="AL5" s="15"/>
      <c r="AM5" s="122"/>
      <c r="AN5" s="15"/>
      <c r="AO5" s="15"/>
      <c r="AP5" s="15"/>
      <c r="AQ5" s="15"/>
      <c r="AR5" s="5"/>
      <c r="AS5" s="15"/>
      <c r="AT5" s="15"/>
      <c r="AU5" s="15"/>
      <c r="AV5" s="15"/>
      <c r="AW5" s="5"/>
      <c r="AX5" s="5"/>
      <c r="AY5" s="5"/>
      <c r="AZ5" s="5"/>
      <c r="BA5" s="5"/>
      <c r="BB5" s="5"/>
      <c r="BC5" s="5"/>
      <c r="BD5" s="5"/>
      <c r="BE5" s="2"/>
      <c r="BF5" s="6"/>
      <c r="BG5" s="6"/>
      <c r="BH5" s="6"/>
      <c r="BI5" s="6"/>
      <c r="BJ5" s="6"/>
      <c r="BK5" s="7"/>
      <c r="BL5" s="7"/>
      <c r="BM5" s="7"/>
      <c r="BN5" s="7"/>
      <c r="BO5" s="7"/>
      <c r="BP5" s="7"/>
      <c r="BQ5" s="7"/>
      <c r="BR5" s="7"/>
      <c r="BS5" s="7"/>
      <c r="BT5" s="7"/>
      <c r="BU5" s="7"/>
      <c r="BV5" s="7"/>
      <c r="BW5" s="7"/>
      <c r="BX5" s="7"/>
      <c r="BY5" s="7"/>
      <c r="BZ5" s="7"/>
      <c r="CA5" s="7"/>
      <c r="CB5" s="7"/>
      <c r="CC5" s="7"/>
    </row>
    <row r="6" ht="30.0" customHeight="1">
      <c r="A6" s="2"/>
      <c r="B6" s="16" t="s">
        <v>9</v>
      </c>
      <c r="C6" s="17" t="s">
        <v>10</v>
      </c>
      <c r="D6" s="10"/>
      <c r="E6" s="10"/>
      <c r="F6" s="10"/>
      <c r="G6" s="10"/>
      <c r="H6" s="10"/>
      <c r="I6" s="10"/>
      <c r="J6" s="10"/>
      <c r="K6" s="10"/>
      <c r="L6" s="10"/>
      <c r="M6" s="26"/>
      <c r="N6" s="27"/>
      <c r="O6" s="27"/>
      <c r="P6" s="27"/>
      <c r="Q6" s="27"/>
      <c r="R6" s="27"/>
      <c r="S6" s="27"/>
      <c r="T6" s="28"/>
      <c r="U6" s="12"/>
      <c r="V6" s="14"/>
      <c r="W6" s="15"/>
      <c r="X6" s="15"/>
      <c r="Y6" s="15"/>
      <c r="Z6" s="15"/>
      <c r="AA6" s="15"/>
      <c r="AB6" s="15"/>
      <c r="AC6" s="15"/>
      <c r="AD6" s="15"/>
      <c r="AE6" s="15"/>
      <c r="AF6" s="15"/>
      <c r="AG6" s="15"/>
      <c r="AH6" s="15"/>
      <c r="AI6" s="15"/>
      <c r="AJ6" s="15"/>
      <c r="AK6" s="15"/>
      <c r="AL6" s="15"/>
      <c r="AM6" s="122"/>
      <c r="AN6" s="15"/>
      <c r="AO6" s="15"/>
      <c r="AP6" s="15"/>
      <c r="AQ6" s="15"/>
      <c r="AR6" s="5"/>
      <c r="AS6" s="15"/>
      <c r="AT6" s="15"/>
      <c r="AU6" s="15"/>
      <c r="AV6" s="15"/>
      <c r="AW6" s="5"/>
      <c r="AX6" s="5"/>
      <c r="AY6" s="5"/>
      <c r="AZ6" s="5"/>
      <c r="BA6" s="5"/>
      <c r="BB6" s="5"/>
      <c r="BC6" s="5"/>
      <c r="BD6" s="5"/>
      <c r="BE6" s="2"/>
      <c r="BF6" s="6"/>
      <c r="BG6" s="6"/>
      <c r="BH6" s="6"/>
      <c r="BI6" s="6"/>
      <c r="BJ6" s="6"/>
      <c r="BK6" s="7"/>
      <c r="BL6" s="7"/>
      <c r="BM6" s="7"/>
      <c r="BN6" s="7"/>
      <c r="BO6" s="7"/>
      <c r="BP6" s="7"/>
      <c r="BQ6" s="7"/>
      <c r="BR6" s="7"/>
      <c r="BS6" s="7"/>
      <c r="BT6" s="7"/>
      <c r="BU6" s="7"/>
      <c r="BV6" s="7"/>
      <c r="BW6" s="7"/>
      <c r="BX6" s="7"/>
      <c r="BY6" s="7"/>
      <c r="BZ6" s="7"/>
      <c r="CA6" s="7"/>
      <c r="CB6" s="7"/>
      <c r="CC6" s="7"/>
    </row>
    <row r="7" ht="30.0" customHeight="1">
      <c r="A7" s="2"/>
      <c r="B7" s="16" t="s">
        <v>11</v>
      </c>
      <c r="C7" s="30" t="s">
        <v>70</v>
      </c>
      <c r="D7" s="10"/>
      <c r="E7" s="10"/>
      <c r="F7" s="10"/>
      <c r="G7" s="10"/>
      <c r="H7" s="10"/>
      <c r="I7" s="10"/>
      <c r="J7" s="10"/>
      <c r="K7" s="10"/>
      <c r="L7" s="10"/>
      <c r="M7" s="10"/>
      <c r="N7" s="10"/>
      <c r="O7" s="14"/>
      <c r="P7" s="123"/>
      <c r="Q7" s="14"/>
      <c r="R7" s="12"/>
      <c r="S7" s="14"/>
      <c r="T7" s="15"/>
      <c r="U7" s="12"/>
      <c r="V7" s="14"/>
      <c r="W7" s="15"/>
      <c r="X7" s="15"/>
      <c r="Y7" s="15"/>
      <c r="Z7" s="15"/>
      <c r="AA7" s="15"/>
      <c r="AB7" s="15"/>
      <c r="AC7" s="15"/>
      <c r="AD7" s="15"/>
      <c r="AE7" s="15"/>
      <c r="AF7" s="15"/>
      <c r="AG7" s="15"/>
      <c r="AH7" s="15"/>
      <c r="AI7" s="15"/>
      <c r="AJ7" s="15"/>
      <c r="AK7" s="15"/>
      <c r="AL7" s="15"/>
      <c r="AM7" s="122"/>
      <c r="AN7" s="15"/>
      <c r="AO7" s="15"/>
      <c r="AP7" s="15"/>
      <c r="AQ7" s="15"/>
      <c r="AR7" s="5"/>
      <c r="AS7" s="15"/>
      <c r="AT7" s="15"/>
      <c r="AU7" s="15"/>
      <c r="AV7" s="15"/>
      <c r="AW7" s="5"/>
      <c r="AX7" s="5"/>
      <c r="AY7" s="5"/>
      <c r="AZ7" s="5"/>
      <c r="BA7" s="5"/>
      <c r="BB7" s="5"/>
      <c r="BC7" s="5"/>
      <c r="BD7" s="5"/>
      <c r="BE7" s="2"/>
      <c r="BF7" s="6"/>
      <c r="BG7" s="6"/>
      <c r="BH7" s="6"/>
      <c r="BI7" s="6"/>
      <c r="BJ7" s="6"/>
      <c r="BK7" s="7"/>
      <c r="BL7" s="7"/>
      <c r="BM7" s="7"/>
      <c r="BN7" s="7"/>
      <c r="BO7" s="7"/>
      <c r="BP7" s="7"/>
      <c r="BQ7" s="7"/>
      <c r="BR7" s="7"/>
      <c r="BS7" s="7"/>
      <c r="BT7" s="7"/>
      <c r="BU7" s="7"/>
      <c r="BV7" s="7"/>
      <c r="BW7" s="7"/>
      <c r="BX7" s="7"/>
      <c r="BY7" s="7"/>
      <c r="BZ7" s="7"/>
      <c r="CA7" s="7"/>
      <c r="CB7" s="7"/>
      <c r="CC7" s="7"/>
    </row>
    <row r="8" ht="15.75" customHeight="1">
      <c r="A8" s="2"/>
      <c r="B8" s="15"/>
      <c r="C8" s="15"/>
      <c r="D8" s="15"/>
      <c r="E8" s="15"/>
      <c r="F8" s="15"/>
      <c r="G8" s="15"/>
      <c r="H8" s="15"/>
      <c r="I8" s="14"/>
      <c r="J8" s="14"/>
      <c r="K8" s="14"/>
      <c r="L8" s="14"/>
      <c r="M8" s="14"/>
      <c r="N8" s="14"/>
      <c r="O8" s="14"/>
      <c r="P8" s="123"/>
      <c r="Q8" s="14"/>
      <c r="R8" s="12"/>
      <c r="S8" s="14"/>
      <c r="T8" s="15"/>
      <c r="U8" s="12"/>
      <c r="V8" s="14"/>
      <c r="W8" s="15"/>
      <c r="X8" s="15"/>
      <c r="Y8" s="15"/>
      <c r="Z8" s="15"/>
      <c r="AA8" s="15"/>
      <c r="AB8" s="15"/>
      <c r="AC8" s="15"/>
      <c r="AD8" s="15"/>
      <c r="AE8" s="15"/>
      <c r="AF8" s="15"/>
      <c r="AG8" s="15"/>
      <c r="AH8" s="15"/>
      <c r="AI8" s="15"/>
      <c r="AJ8" s="15"/>
      <c r="AK8" s="15"/>
      <c r="AL8" s="15"/>
      <c r="AM8" s="124"/>
      <c r="AN8" s="15"/>
      <c r="AO8" s="15"/>
      <c r="AP8" s="15"/>
      <c r="AQ8" s="15"/>
      <c r="AR8" s="5"/>
      <c r="AS8" s="15"/>
      <c r="AT8" s="15"/>
      <c r="AU8" s="15"/>
      <c r="AV8" s="15"/>
      <c r="AW8" s="5"/>
      <c r="AX8" s="5"/>
      <c r="AY8" s="5"/>
      <c r="AZ8" s="5"/>
      <c r="BA8" s="5"/>
      <c r="BB8" s="5"/>
      <c r="BC8" s="5"/>
      <c r="BD8" s="5"/>
      <c r="BE8" s="2"/>
      <c r="BF8" s="6"/>
      <c r="BG8" s="6"/>
      <c r="BH8" s="6"/>
      <c r="BI8" s="6"/>
      <c r="BJ8" s="6"/>
      <c r="BK8" s="7"/>
      <c r="BL8" s="7"/>
      <c r="BM8" s="7"/>
      <c r="BN8" s="7"/>
      <c r="BO8" s="7"/>
      <c r="BP8" s="7"/>
      <c r="BQ8" s="7"/>
      <c r="BR8" s="7"/>
      <c r="BS8" s="7"/>
      <c r="BT8" s="7"/>
      <c r="BU8" s="7"/>
      <c r="BV8" s="7"/>
      <c r="BW8" s="7"/>
      <c r="BX8" s="7"/>
      <c r="BY8" s="7"/>
      <c r="BZ8" s="7"/>
      <c r="CA8" s="7"/>
      <c r="CB8" s="7"/>
      <c r="CC8" s="7"/>
    </row>
    <row r="9" ht="21.0" customHeight="1">
      <c r="A9" s="2"/>
      <c r="B9" s="9"/>
      <c r="C9" s="9"/>
      <c r="D9" s="9"/>
      <c r="E9" s="9"/>
      <c r="F9" s="9"/>
      <c r="G9" s="9"/>
      <c r="H9" s="9"/>
      <c r="I9" s="13"/>
      <c r="J9" s="13"/>
      <c r="K9" s="13"/>
      <c r="L9" s="13"/>
      <c r="M9" s="13"/>
      <c r="N9" s="14"/>
      <c r="O9" s="14"/>
      <c r="P9" s="123"/>
      <c r="Q9" s="14"/>
      <c r="R9" s="12"/>
      <c r="S9" s="14"/>
      <c r="T9" s="15"/>
      <c r="U9" s="12"/>
      <c r="V9" s="14"/>
      <c r="W9" s="15"/>
      <c r="X9" s="15"/>
      <c r="Y9" s="15"/>
      <c r="Z9" s="15"/>
      <c r="AA9" s="15"/>
      <c r="AB9" s="15"/>
      <c r="AC9" s="15"/>
      <c r="AD9" s="15"/>
      <c r="AE9" s="15"/>
      <c r="AF9" s="15"/>
      <c r="AG9" s="15"/>
      <c r="AH9" s="15"/>
      <c r="AI9" s="15"/>
      <c r="AJ9" s="15"/>
      <c r="AK9" s="15"/>
      <c r="AL9" s="15"/>
      <c r="AM9" s="124"/>
      <c r="AN9" s="15"/>
      <c r="AO9" s="15"/>
      <c r="AP9" s="15"/>
      <c r="AQ9" s="15"/>
      <c r="AR9" s="5"/>
      <c r="AS9" s="15"/>
      <c r="AT9" s="15"/>
      <c r="AU9" s="15"/>
      <c r="AV9" s="15"/>
      <c r="AW9" s="5"/>
      <c r="AX9" s="5"/>
      <c r="AY9" s="5"/>
      <c r="AZ9" s="5"/>
      <c r="BA9" s="5"/>
      <c r="BB9" s="5"/>
      <c r="BC9" s="5"/>
      <c r="BD9" s="5"/>
      <c r="BE9" s="31"/>
      <c r="BF9" s="32"/>
      <c r="BG9" s="32"/>
      <c r="BH9" s="32"/>
      <c r="BI9" s="32"/>
      <c r="BJ9" s="32"/>
      <c r="BK9" s="6"/>
      <c r="BL9" s="6"/>
      <c r="BM9" s="6"/>
      <c r="BN9" s="6"/>
      <c r="BO9" s="6"/>
      <c r="BP9" s="6"/>
      <c r="BQ9" s="6"/>
      <c r="BR9" s="6"/>
      <c r="BS9" s="6"/>
      <c r="BT9" s="6"/>
      <c r="BU9" s="6"/>
      <c r="BV9" s="6"/>
      <c r="BW9" s="6"/>
      <c r="BX9" s="6"/>
      <c r="BY9" s="6"/>
      <c r="BZ9" s="6"/>
      <c r="CA9" s="6"/>
      <c r="CB9" s="6"/>
      <c r="CC9" s="6"/>
    </row>
    <row r="10" ht="46.5" customHeight="1">
      <c r="A10" s="2"/>
      <c r="B10" s="125" t="s">
        <v>13</v>
      </c>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7"/>
      <c r="AA10" s="128"/>
      <c r="AB10" s="128"/>
      <c r="AC10" s="128"/>
      <c r="AD10" s="128"/>
      <c r="AE10" s="128"/>
      <c r="AF10" s="128"/>
      <c r="AG10" s="128"/>
      <c r="AH10" s="15"/>
      <c r="AI10" s="128"/>
      <c r="AJ10" s="128"/>
      <c r="AK10" s="128"/>
      <c r="AL10" s="128"/>
      <c r="AM10" s="124"/>
      <c r="AN10" s="128"/>
      <c r="AO10" s="128"/>
      <c r="AP10" s="128"/>
      <c r="AQ10" s="128"/>
      <c r="AR10" s="5"/>
      <c r="AS10" s="128"/>
      <c r="AT10" s="128"/>
      <c r="AU10" s="128"/>
      <c r="AV10" s="128"/>
      <c r="AW10" s="5"/>
      <c r="AX10" s="128"/>
      <c r="AY10" s="128"/>
      <c r="AZ10" s="128"/>
      <c r="BA10" s="5"/>
      <c r="BB10" s="5"/>
      <c r="BC10" s="5"/>
      <c r="BD10" s="5"/>
      <c r="BE10" s="31"/>
      <c r="BF10" s="32"/>
      <c r="BG10" s="32"/>
      <c r="BH10" s="32"/>
      <c r="BI10" s="32"/>
      <c r="BJ10" s="32"/>
      <c r="BK10" s="7"/>
      <c r="BL10" s="7"/>
      <c r="BM10" s="7"/>
      <c r="BN10" s="7"/>
      <c r="BO10" s="7"/>
      <c r="BP10" s="7"/>
      <c r="BQ10" s="7"/>
      <c r="BR10" s="7"/>
      <c r="BS10" s="7"/>
      <c r="BT10" s="7"/>
      <c r="BU10" s="7"/>
      <c r="BV10" s="7"/>
      <c r="BW10" s="7"/>
      <c r="BX10" s="7"/>
      <c r="BY10" s="7"/>
      <c r="BZ10" s="7"/>
      <c r="CA10" s="7"/>
      <c r="CB10" s="7"/>
      <c r="CC10" s="7"/>
    </row>
    <row r="11" ht="30.0" customHeight="1">
      <c r="A11" s="2"/>
      <c r="B11" s="128" t="s">
        <v>14</v>
      </c>
      <c r="C11" s="39" t="s">
        <v>15</v>
      </c>
      <c r="D11" s="40" t="s">
        <v>16</v>
      </c>
      <c r="E11" s="40" t="s">
        <v>17</v>
      </c>
      <c r="F11" s="40" t="s">
        <v>18</v>
      </c>
      <c r="G11" s="40" t="s">
        <v>19</v>
      </c>
      <c r="H11" s="40" t="s">
        <v>20</v>
      </c>
      <c r="I11" s="40" t="s">
        <v>21</v>
      </c>
      <c r="J11" s="40" t="s">
        <v>22</v>
      </c>
      <c r="K11" s="40" t="s">
        <v>23</v>
      </c>
      <c r="L11" s="40" t="s">
        <v>19</v>
      </c>
      <c r="M11" s="40" t="s">
        <v>24</v>
      </c>
      <c r="N11" s="40" t="s">
        <v>25</v>
      </c>
      <c r="O11" s="41" t="s">
        <v>27</v>
      </c>
      <c r="P11" s="129" t="s">
        <v>28</v>
      </c>
      <c r="Q11" s="40" t="s">
        <v>19</v>
      </c>
      <c r="R11" s="41" t="s">
        <v>30</v>
      </c>
      <c r="S11" s="130" t="s">
        <v>71</v>
      </c>
      <c r="T11" s="40" t="s">
        <v>19</v>
      </c>
      <c r="U11" s="41" t="s">
        <v>32</v>
      </c>
      <c r="V11" s="130" t="s">
        <v>72</v>
      </c>
      <c r="W11" s="40" t="s">
        <v>19</v>
      </c>
      <c r="X11" s="42" t="s">
        <v>34</v>
      </c>
      <c r="Y11" s="42" t="s">
        <v>35</v>
      </c>
      <c r="Z11" s="40" t="s">
        <v>19</v>
      </c>
      <c r="AA11" s="42" t="s">
        <v>36</v>
      </c>
      <c r="AB11" s="42" t="s">
        <v>37</v>
      </c>
      <c r="AC11" s="40" t="s">
        <v>19</v>
      </c>
      <c r="AD11" s="41" t="s">
        <v>60</v>
      </c>
      <c r="AE11" s="42" t="s">
        <v>38</v>
      </c>
      <c r="AF11" s="42" t="s">
        <v>39</v>
      </c>
      <c r="AG11" s="40" t="s">
        <v>19</v>
      </c>
      <c r="AH11" s="15"/>
      <c r="AI11" s="41" t="s">
        <v>61</v>
      </c>
      <c r="AJ11" s="42" t="s">
        <v>40</v>
      </c>
      <c r="AK11" s="42" t="s">
        <v>41</v>
      </c>
      <c r="AL11" s="40" t="s">
        <v>19</v>
      </c>
      <c r="AM11" s="124"/>
      <c r="AN11" s="41" t="s">
        <v>73</v>
      </c>
      <c r="AO11" s="42" t="s">
        <v>42</v>
      </c>
      <c r="AP11" s="42" t="s">
        <v>43</v>
      </c>
      <c r="AQ11" s="40" t="s">
        <v>19</v>
      </c>
      <c r="AR11" s="5"/>
      <c r="AS11" s="41" t="s">
        <v>74</v>
      </c>
      <c r="AT11" s="42" t="s">
        <v>44</v>
      </c>
      <c r="AU11" s="42" t="s">
        <v>75</v>
      </c>
      <c r="AV11" s="40" t="s">
        <v>19</v>
      </c>
      <c r="AW11" s="5"/>
      <c r="AX11" s="42" t="s">
        <v>46</v>
      </c>
      <c r="AY11" s="42" t="s">
        <v>76</v>
      </c>
      <c r="AZ11" s="40" t="s">
        <v>19</v>
      </c>
      <c r="BA11" s="5"/>
      <c r="BB11" s="5"/>
      <c r="BC11" s="5"/>
      <c r="BD11" s="5"/>
      <c r="BE11" s="9"/>
      <c r="BF11" s="46"/>
      <c r="BG11" s="46"/>
      <c r="BH11" s="46"/>
      <c r="BI11" s="46"/>
      <c r="BJ11" s="46"/>
      <c r="BK11" s="47"/>
      <c r="BL11" s="48"/>
      <c r="BM11" s="48"/>
      <c r="BR11" s="7"/>
      <c r="BS11" s="7"/>
      <c r="BT11" s="7"/>
      <c r="BU11" s="7"/>
      <c r="BV11" s="7"/>
      <c r="BW11" s="7"/>
      <c r="BX11" s="7"/>
      <c r="BY11" s="7"/>
      <c r="BZ11" s="7"/>
      <c r="CA11" s="7"/>
      <c r="CB11" s="7"/>
      <c r="CC11" s="7"/>
    </row>
    <row r="12" ht="30.0" customHeight="1">
      <c r="A12" s="2"/>
      <c r="C12" s="28"/>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15"/>
      <c r="AI12" s="49"/>
      <c r="AJ12" s="49"/>
      <c r="AK12" s="49"/>
      <c r="AL12" s="49"/>
      <c r="AM12" s="124"/>
      <c r="AN12" s="49"/>
      <c r="AO12" s="49"/>
      <c r="AP12" s="49"/>
      <c r="AQ12" s="49"/>
      <c r="AR12" s="5"/>
      <c r="AS12" s="49"/>
      <c r="AT12" s="49"/>
      <c r="AU12" s="49"/>
      <c r="AV12" s="49"/>
      <c r="AW12" s="5"/>
      <c r="AX12" s="49"/>
      <c r="AY12" s="49"/>
      <c r="AZ12" s="49"/>
      <c r="BA12" s="5"/>
      <c r="BB12" s="5"/>
      <c r="BC12" s="5"/>
      <c r="BD12" s="5"/>
      <c r="BE12" s="50"/>
      <c r="BF12" s="51"/>
      <c r="BG12" s="51"/>
      <c r="BH12" s="51"/>
      <c r="BI12" s="51"/>
      <c r="BJ12" s="51"/>
      <c r="BK12" s="52">
        <v>18.0</v>
      </c>
      <c r="BL12" s="52">
        <v>25.0</v>
      </c>
      <c r="BM12" s="52">
        <v>2.0</v>
      </c>
      <c r="BN12" s="52">
        <v>9.0</v>
      </c>
      <c r="BO12" s="52">
        <v>16.0</v>
      </c>
      <c r="BP12" s="52">
        <v>23.0</v>
      </c>
      <c r="BQ12" s="52">
        <v>30.0</v>
      </c>
      <c r="BR12" s="7"/>
      <c r="BS12" s="7"/>
      <c r="BT12" s="7"/>
      <c r="BU12" s="7"/>
      <c r="BV12" s="7"/>
      <c r="BW12" s="7"/>
      <c r="BX12" s="7"/>
      <c r="BY12" s="7"/>
      <c r="BZ12" s="7"/>
      <c r="CA12" s="7"/>
      <c r="CB12" s="7"/>
      <c r="CC12" s="7"/>
    </row>
    <row r="13" ht="51.75" customHeight="1">
      <c r="A13" s="2"/>
      <c r="B13" s="53" t="s">
        <v>77</v>
      </c>
      <c r="C13" s="54" t="s">
        <v>15</v>
      </c>
      <c r="D13" s="55">
        <f t="shared" ref="D13:E13" si="1">sum(D23,D33,D43,D53,D63,D73)</f>
        <v>1332000</v>
      </c>
      <c r="E13" s="55">
        <f t="shared" si="1"/>
        <v>56309</v>
      </c>
      <c r="F13" s="95">
        <v>116106.0</v>
      </c>
      <c r="G13" s="56">
        <f t="shared" ref="G13:H13" si="2">E13/D13</f>
        <v>0.04227402402</v>
      </c>
      <c r="H13" s="131">
        <f t="shared" si="2"/>
        <v>2.061943917</v>
      </c>
      <c r="I13" s="55">
        <f t="shared" ref="I13:J13" si="3">sum(I23,I33,I43,I53,I63,I73)</f>
        <v>1332000</v>
      </c>
      <c r="J13" s="55">
        <f t="shared" si="3"/>
        <v>85976</v>
      </c>
      <c r="K13" s="55">
        <v>242008.0</v>
      </c>
      <c r="L13" s="56">
        <f t="shared" ref="L13:M13" si="4">J13/I13</f>
        <v>0.06454654655</v>
      </c>
      <c r="M13" s="131">
        <f t="shared" si="4"/>
        <v>2.814832046</v>
      </c>
      <c r="N13" s="55">
        <f t="shared" ref="N13:N15" si="9">I13</f>
        <v>1332000</v>
      </c>
      <c r="O13" s="55">
        <f t="shared" ref="O13:O15" si="10">O23+O33+O43+O53+O63+O73</f>
        <v>325109</v>
      </c>
      <c r="P13" s="58">
        <v>2.72</v>
      </c>
      <c r="Q13" s="56">
        <f t="shared" ref="Q13:Q15" si="11">O13/N13</f>
        <v>0.2440758258</v>
      </c>
      <c r="R13" s="55">
        <f t="shared" ref="R13:R15" si="12">R23+R33+R43+R53+R63+R73</f>
        <v>92313</v>
      </c>
      <c r="S13" s="58">
        <v>2.747</v>
      </c>
      <c r="T13" s="132">
        <f>R13/$N$13</f>
        <v>0.06930405405</v>
      </c>
      <c r="U13" s="55">
        <f t="shared" ref="U13:U15" si="13">U23+U33+U43+U53+U63+U73</f>
        <v>102002</v>
      </c>
      <c r="V13" s="58">
        <v>3.01</v>
      </c>
      <c r="W13" s="132">
        <f>U13/$N$13</f>
        <v>0.07657807808</v>
      </c>
      <c r="X13" s="64">
        <v>111253.0</v>
      </c>
      <c r="Y13" s="133">
        <v>2.86</v>
      </c>
      <c r="Z13" s="132">
        <f>X13/$N$13</f>
        <v>0.08352327327</v>
      </c>
      <c r="AA13" s="64">
        <v>142234.0</v>
      </c>
      <c r="AB13" s="133">
        <v>2.98</v>
      </c>
      <c r="AC13" s="132">
        <f>AA13/$N$13</f>
        <v>0.1067822823</v>
      </c>
      <c r="AD13" s="64"/>
      <c r="AE13" s="64">
        <v>159437.0</v>
      </c>
      <c r="AF13" s="133">
        <v>4.16</v>
      </c>
      <c r="AG13" s="132">
        <f>AE13/$N13</f>
        <v>0.1196974474</v>
      </c>
      <c r="AH13" s="15"/>
      <c r="AI13" s="64"/>
      <c r="AJ13" s="64">
        <v>294648.0</v>
      </c>
      <c r="AK13" s="133">
        <v>3.5</v>
      </c>
      <c r="AL13" s="132">
        <f>AJ13/$N13</f>
        <v>0.2212072072</v>
      </c>
      <c r="AM13" s="124"/>
      <c r="AN13" s="64"/>
      <c r="AO13" s="64">
        <v>165585.0</v>
      </c>
      <c r="AP13" s="133">
        <v>4.78</v>
      </c>
      <c r="AQ13" s="132">
        <f>AO13/$N13</f>
        <v>0.1243130631</v>
      </c>
      <c r="AR13" s="5"/>
      <c r="AS13" s="64"/>
      <c r="AT13" s="64">
        <v>113331.0</v>
      </c>
      <c r="AU13" s="133">
        <v>5.53</v>
      </c>
      <c r="AV13" s="132">
        <f>AT13/$N13</f>
        <v>0.08508333333</v>
      </c>
      <c r="AW13" s="5"/>
      <c r="AX13" s="134">
        <v>118206.0</v>
      </c>
      <c r="AY13" s="135">
        <v>4.97</v>
      </c>
      <c r="AZ13" s="136">
        <f>AX13/$N13</f>
        <v>0.08874324324</v>
      </c>
      <c r="BA13" s="5"/>
      <c r="BB13" s="5"/>
      <c r="BC13" s="5"/>
      <c r="BD13" s="5"/>
      <c r="BE13" s="60"/>
      <c r="BF13" s="61"/>
      <c r="BG13" s="61"/>
      <c r="BH13" s="61"/>
      <c r="BI13" s="61"/>
      <c r="BJ13" s="61"/>
      <c r="BK13" s="62"/>
      <c r="BL13" s="62"/>
      <c r="BM13" s="62"/>
      <c r="BN13" s="62"/>
      <c r="BO13" s="62"/>
      <c r="BP13" s="62"/>
      <c r="BQ13" s="62"/>
      <c r="BR13" s="62"/>
      <c r="BS13" s="62"/>
      <c r="BT13" s="62"/>
      <c r="BU13" s="62"/>
      <c r="BV13" s="62"/>
      <c r="BW13" s="62"/>
      <c r="BX13" s="62"/>
      <c r="BY13" s="62"/>
      <c r="BZ13" s="62"/>
      <c r="CA13" s="62"/>
      <c r="CB13" s="62"/>
      <c r="CC13" s="62"/>
    </row>
    <row r="14" ht="51.75" customHeight="1">
      <c r="A14" s="2"/>
      <c r="B14" s="108"/>
      <c r="C14" s="54" t="s">
        <v>68</v>
      </c>
      <c r="D14" s="55">
        <f t="shared" ref="D14:E14" si="5">sum(D24,D34,D44,D54,D64,D74)</f>
        <v>8511000</v>
      </c>
      <c r="E14" s="55">
        <f t="shared" si="5"/>
        <v>40058</v>
      </c>
      <c r="F14" s="95">
        <v>75719.0</v>
      </c>
      <c r="G14" s="56">
        <f t="shared" ref="G14:H14" si="6">E14/D14</f>
        <v>0.004706614969</v>
      </c>
      <c r="H14" s="131">
        <f t="shared" si="6"/>
        <v>1.89023416</v>
      </c>
      <c r="I14" s="55">
        <f t="shared" ref="I14:J14" si="7">sum(I24,I34,I44,I54,I64,I74)</f>
        <v>8511000</v>
      </c>
      <c r="J14" s="55">
        <f t="shared" si="7"/>
        <v>64185</v>
      </c>
      <c r="K14" s="55">
        <v>128914.0</v>
      </c>
      <c r="L14" s="56">
        <f t="shared" ref="L14:M14" si="8">J14/I14</f>
        <v>0.00754141699</v>
      </c>
      <c r="M14" s="131">
        <f t="shared" si="8"/>
        <v>2.008475501</v>
      </c>
      <c r="N14" s="55">
        <f t="shared" si="9"/>
        <v>8511000</v>
      </c>
      <c r="O14" s="55">
        <f t="shared" si="10"/>
        <v>63351</v>
      </c>
      <c r="P14" s="57">
        <v>2.158040125649161</v>
      </c>
      <c r="Q14" s="56">
        <f t="shared" si="11"/>
        <v>0.007443426154</v>
      </c>
      <c r="R14" s="55">
        <f t="shared" si="12"/>
        <v>61765</v>
      </c>
      <c r="S14" s="58">
        <v>2.19</v>
      </c>
      <c r="T14" s="132">
        <f>R14/$N$14</f>
        <v>0.007257079074</v>
      </c>
      <c r="U14" s="55">
        <f t="shared" si="13"/>
        <v>67314</v>
      </c>
      <c r="V14" s="58">
        <v>2.46</v>
      </c>
      <c r="W14" s="132">
        <f>U14/$N$14</f>
        <v>0.007909058865</v>
      </c>
      <c r="X14" s="64">
        <v>61523.0</v>
      </c>
      <c r="Y14" s="58">
        <v>2.24</v>
      </c>
      <c r="Z14" s="132">
        <f>X14/$N$14</f>
        <v>0.007228645283</v>
      </c>
      <c r="AA14" s="64">
        <v>73534.0</v>
      </c>
      <c r="AB14" s="58">
        <v>2.31</v>
      </c>
      <c r="AC14" s="132">
        <f>AA14/$N$14</f>
        <v>0.008639877805</v>
      </c>
      <c r="AD14" s="64"/>
      <c r="AE14" s="64"/>
      <c r="AF14" s="58"/>
      <c r="AG14" s="132"/>
      <c r="AH14" s="15"/>
      <c r="AI14" s="64"/>
      <c r="AJ14" s="64"/>
      <c r="AK14" s="58"/>
      <c r="AL14" s="132"/>
      <c r="AM14" s="124"/>
      <c r="AN14" s="64"/>
      <c r="AO14" s="64"/>
      <c r="AP14" s="58"/>
      <c r="AQ14" s="132"/>
      <c r="AR14" s="5"/>
      <c r="AS14" s="64"/>
      <c r="AT14" s="64"/>
      <c r="AU14" s="58"/>
      <c r="AV14" s="132"/>
      <c r="AW14" s="5"/>
      <c r="AX14" s="134"/>
      <c r="AY14" s="135"/>
      <c r="AZ14" s="136"/>
      <c r="BA14" s="5"/>
      <c r="BB14" s="5"/>
      <c r="BC14" s="5"/>
      <c r="BD14" s="5"/>
      <c r="BE14" s="60"/>
      <c r="BF14" s="61"/>
      <c r="BG14" s="61"/>
      <c r="BH14" s="61"/>
      <c r="BI14" s="61"/>
      <c r="BJ14" s="61"/>
      <c r="BK14" s="62"/>
      <c r="BL14" s="62"/>
      <c r="BM14" s="62"/>
      <c r="BN14" s="62"/>
      <c r="BO14" s="62"/>
      <c r="BP14" s="62"/>
      <c r="BQ14" s="62"/>
      <c r="BR14" s="62"/>
      <c r="BS14" s="62"/>
      <c r="BT14" s="62"/>
      <c r="BU14" s="62"/>
      <c r="BV14" s="62"/>
      <c r="BW14" s="62"/>
      <c r="BX14" s="62"/>
      <c r="BY14" s="62"/>
      <c r="BZ14" s="62"/>
      <c r="CA14" s="62"/>
      <c r="CB14" s="62"/>
      <c r="CC14" s="62"/>
    </row>
    <row r="15" ht="51.75" customHeight="1">
      <c r="A15" s="2"/>
      <c r="B15" s="63"/>
      <c r="C15" s="54" t="s">
        <v>49</v>
      </c>
      <c r="D15" s="55">
        <f t="shared" ref="D15:E15" si="14">sum(D25,D35,D45,D55,D65,D75)</f>
        <v>926000</v>
      </c>
      <c r="E15" s="55">
        <f t="shared" si="14"/>
        <v>221742</v>
      </c>
      <c r="F15" s="95">
        <v>819786.0</v>
      </c>
      <c r="G15" s="56">
        <f t="shared" ref="G15:H15" si="15">E15/D15</f>
        <v>0.239462203</v>
      </c>
      <c r="H15" s="131">
        <f t="shared" si="15"/>
        <v>3.697026274</v>
      </c>
      <c r="I15" s="55">
        <f t="shared" ref="I15:J15" si="16">sum(I25,I35,I45,I55,I65,I75)</f>
        <v>926000</v>
      </c>
      <c r="J15" s="55">
        <f t="shared" si="16"/>
        <v>215685</v>
      </c>
      <c r="K15" s="55">
        <v>676894.0</v>
      </c>
      <c r="L15" s="56">
        <f t="shared" ref="L15:M15" si="17">J15/I15</f>
        <v>0.2329211663</v>
      </c>
      <c r="M15" s="131">
        <f t="shared" si="17"/>
        <v>3.138345272</v>
      </c>
      <c r="N15" s="55">
        <f t="shared" si="9"/>
        <v>926000</v>
      </c>
      <c r="O15" s="55">
        <f t="shared" si="10"/>
        <v>227096</v>
      </c>
      <c r="P15" s="57">
        <v>2.916312924930426</v>
      </c>
      <c r="Q15" s="56">
        <f t="shared" si="11"/>
        <v>0.2452440605</v>
      </c>
      <c r="R15" s="55">
        <f t="shared" si="12"/>
        <v>228754</v>
      </c>
      <c r="S15" s="58">
        <v>2.87</v>
      </c>
      <c r="T15" s="132">
        <f>R15/$N$15</f>
        <v>0.2470345572</v>
      </c>
      <c r="U15" s="55">
        <f t="shared" si="13"/>
        <v>276904</v>
      </c>
      <c r="V15" s="58">
        <v>3.18</v>
      </c>
      <c r="W15" s="132">
        <f>U15/$N$15</f>
        <v>0.2990323974</v>
      </c>
      <c r="X15" s="64">
        <v>322748.0</v>
      </c>
      <c r="Y15" s="58">
        <v>2.77</v>
      </c>
      <c r="Z15" s="132">
        <f>X15/$N$15</f>
        <v>0.3485399568</v>
      </c>
      <c r="AA15" s="64">
        <v>334315.0</v>
      </c>
      <c r="AB15" s="58">
        <v>2.69</v>
      </c>
      <c r="AC15" s="132">
        <f>AA15/$N$15</f>
        <v>0.3610313175</v>
      </c>
      <c r="AD15" s="64"/>
      <c r="AE15" s="64">
        <v>39636.0</v>
      </c>
      <c r="AF15" s="58">
        <v>3.44</v>
      </c>
      <c r="AG15" s="132">
        <f>AE15/$N15</f>
        <v>0.04280345572</v>
      </c>
      <c r="AH15" s="15"/>
      <c r="AI15" s="64"/>
      <c r="AJ15" s="64"/>
      <c r="AK15" s="58"/>
      <c r="AL15" s="132"/>
      <c r="AM15" s="124"/>
      <c r="AN15" s="64"/>
      <c r="AO15" s="64">
        <v>31443.0</v>
      </c>
      <c r="AP15" s="58">
        <v>2.95</v>
      </c>
      <c r="AQ15" s="132">
        <f>AO15/$N15</f>
        <v>0.03395572354</v>
      </c>
      <c r="AR15" s="5"/>
      <c r="AS15" s="64"/>
      <c r="AT15" s="64"/>
      <c r="AU15" s="58"/>
      <c r="AV15" s="132"/>
      <c r="AW15" s="5"/>
      <c r="AX15" s="134">
        <v>48530.0</v>
      </c>
      <c r="AY15" s="135">
        <v>1.97</v>
      </c>
      <c r="AZ15" s="136"/>
      <c r="BA15" s="5"/>
      <c r="BB15" s="5"/>
      <c r="BC15" s="5"/>
      <c r="BD15" s="5"/>
      <c r="BE15" s="60"/>
      <c r="BF15" s="61"/>
      <c r="BG15" s="61"/>
      <c r="BH15" s="61"/>
      <c r="BI15" s="61"/>
      <c r="BJ15" s="61"/>
      <c r="BK15" s="7"/>
      <c r="BL15" s="7"/>
      <c r="BM15" s="7"/>
      <c r="BN15" s="7"/>
      <c r="BO15" s="7"/>
      <c r="BP15" s="7"/>
      <c r="BQ15" s="7"/>
      <c r="BR15" s="7"/>
      <c r="BS15" s="7"/>
      <c r="BT15" s="7"/>
      <c r="BU15" s="7"/>
      <c r="BV15" s="7"/>
      <c r="BW15" s="7"/>
      <c r="BX15" s="7"/>
      <c r="BY15" s="7"/>
      <c r="BZ15" s="7"/>
      <c r="CA15" s="7"/>
      <c r="CB15" s="7"/>
      <c r="CC15" s="7"/>
    </row>
    <row r="16" ht="26.25" customHeight="1">
      <c r="A16" s="2"/>
      <c r="B16" s="65"/>
      <c r="C16" s="48"/>
      <c r="D16" s="48"/>
      <c r="E16" s="66"/>
      <c r="F16" s="67"/>
      <c r="G16" s="67"/>
      <c r="H16" s="67"/>
      <c r="I16" s="68"/>
      <c r="J16" s="68"/>
      <c r="K16" s="68"/>
      <c r="L16" s="68"/>
      <c r="M16" s="68"/>
      <c r="N16" s="68"/>
      <c r="O16" s="68"/>
      <c r="P16" s="137"/>
      <c r="Q16" s="68"/>
      <c r="R16" s="68"/>
      <c r="S16" s="68"/>
      <c r="T16" s="68"/>
      <c r="U16" s="68"/>
      <c r="V16" s="68"/>
      <c r="W16" s="68"/>
      <c r="X16" s="68"/>
      <c r="Y16" s="68"/>
      <c r="Z16" s="68"/>
      <c r="AA16" s="70"/>
      <c r="AB16" s="70"/>
      <c r="AC16" s="70"/>
      <c r="AD16" s="70"/>
      <c r="AE16" s="70"/>
      <c r="AF16" s="70"/>
      <c r="AG16" s="70"/>
      <c r="AH16" s="15"/>
      <c r="AI16" s="70"/>
      <c r="AJ16" s="70"/>
      <c r="AK16" s="70"/>
      <c r="AL16" s="70"/>
      <c r="AM16" s="124"/>
      <c r="AN16" s="70"/>
      <c r="AO16" s="70"/>
      <c r="AP16" s="70"/>
      <c r="AQ16" s="70"/>
      <c r="AR16" s="5"/>
      <c r="AS16" s="70"/>
      <c r="AT16" s="70"/>
      <c r="AU16" s="70"/>
      <c r="AV16" s="70"/>
      <c r="AW16" s="5"/>
      <c r="AX16" s="70"/>
      <c r="AY16" s="70"/>
      <c r="AZ16" s="70"/>
      <c r="BA16" s="5"/>
      <c r="BB16" s="5"/>
      <c r="BC16" s="5"/>
      <c r="BD16" s="5"/>
      <c r="BE16" s="2"/>
      <c r="BF16" s="6"/>
      <c r="BG16" s="6"/>
      <c r="BH16" s="6"/>
      <c r="BI16" s="6"/>
      <c r="BJ16" s="6"/>
      <c r="BK16" s="7"/>
      <c r="BL16" s="7"/>
      <c r="BM16" s="7"/>
      <c r="BN16" s="7"/>
      <c r="BO16" s="7"/>
      <c r="BP16" s="7"/>
      <c r="BQ16" s="7"/>
      <c r="BR16" s="7"/>
      <c r="BS16" s="7"/>
      <c r="BT16" s="7"/>
      <c r="BU16" s="7"/>
      <c r="BV16" s="7"/>
      <c r="BW16" s="7"/>
      <c r="BX16" s="7"/>
      <c r="BY16" s="7"/>
      <c r="BZ16" s="7"/>
      <c r="CA16" s="7"/>
      <c r="CB16" s="7"/>
      <c r="CC16" s="7"/>
    </row>
    <row r="17" ht="33.75" customHeight="1">
      <c r="A17" s="72"/>
      <c r="B17" s="112" t="s">
        <v>64</v>
      </c>
      <c r="C17" s="74"/>
      <c r="D17" s="75"/>
      <c r="E17" s="113">
        <f>((sum(E13:E15)-E18)/E18)</f>
        <v>0.1439477848</v>
      </c>
      <c r="F17" s="75"/>
      <c r="G17" s="75"/>
      <c r="H17" s="75"/>
      <c r="I17" s="114"/>
      <c r="J17" s="113">
        <f>((sum(J13:J15)-J18)/J18)</f>
        <v>0.2127719526</v>
      </c>
      <c r="K17" s="114"/>
      <c r="L17" s="114"/>
      <c r="M17" s="138"/>
      <c r="N17" s="114"/>
      <c r="O17" s="114"/>
      <c r="P17" s="139"/>
      <c r="Q17" s="114"/>
      <c r="R17" s="114"/>
      <c r="S17" s="114"/>
      <c r="T17" s="114"/>
      <c r="U17" s="114"/>
      <c r="V17" s="114"/>
      <c r="W17" s="114"/>
      <c r="X17" s="114"/>
      <c r="Y17" s="114"/>
      <c r="Z17" s="114"/>
      <c r="AA17" s="82"/>
      <c r="AB17" s="82"/>
      <c r="AC17" s="82"/>
      <c r="AD17" s="82"/>
      <c r="AE17" s="82"/>
      <c r="AF17" s="82"/>
      <c r="AG17" s="82"/>
      <c r="AH17" s="15"/>
      <c r="AI17" s="82"/>
      <c r="AJ17" s="82"/>
      <c r="AK17" s="82"/>
      <c r="AL17" s="82"/>
      <c r="AM17" s="124"/>
      <c r="AN17" s="82"/>
      <c r="AO17" s="82"/>
      <c r="AP17" s="82"/>
      <c r="AQ17" s="82"/>
      <c r="AR17" s="5"/>
      <c r="AS17" s="82"/>
      <c r="AT17" s="82"/>
      <c r="AU17" s="82"/>
      <c r="AV17" s="82"/>
      <c r="AW17" s="5"/>
      <c r="AX17" s="82"/>
      <c r="AY17" s="82"/>
      <c r="AZ17" s="82"/>
      <c r="BA17" s="5"/>
      <c r="BB17" s="5"/>
      <c r="BC17" s="5"/>
      <c r="BD17" s="5"/>
      <c r="BE17" s="72"/>
      <c r="BF17" s="83"/>
      <c r="BG17" s="83"/>
      <c r="BH17" s="83"/>
      <c r="BI17" s="83"/>
      <c r="BJ17" s="83"/>
      <c r="BK17" s="84"/>
      <c r="BL17" s="84"/>
      <c r="BM17" s="84"/>
      <c r="BN17" s="84"/>
      <c r="BO17" s="84"/>
      <c r="BP17" s="84"/>
      <c r="BQ17" s="84"/>
      <c r="BR17" s="84"/>
      <c r="BS17" s="84"/>
      <c r="BT17" s="84"/>
      <c r="BU17" s="84"/>
      <c r="BV17" s="84"/>
      <c r="BW17" s="84"/>
      <c r="BX17" s="84"/>
      <c r="BY17" s="84"/>
      <c r="BZ17" s="84"/>
      <c r="CA17" s="84"/>
      <c r="CB17" s="84"/>
      <c r="CC17" s="84"/>
    </row>
    <row r="18" ht="33.75" customHeight="1">
      <c r="A18" s="72"/>
      <c r="B18" s="73" t="s">
        <v>51</v>
      </c>
      <c r="C18" s="74"/>
      <c r="D18" s="75"/>
      <c r="E18" s="78">
        <f>sum(E28,E38,E48,E58,E68,E78)</f>
        <v>278080</v>
      </c>
      <c r="F18" s="75"/>
      <c r="G18" s="75"/>
      <c r="H18" s="75"/>
      <c r="I18" s="75"/>
      <c r="J18" s="78">
        <f>sum(J28,J38,J48,J58,J68,J78)</f>
        <v>301661</v>
      </c>
      <c r="K18" s="75"/>
      <c r="L18" s="75"/>
      <c r="M18" s="81"/>
      <c r="N18" s="81"/>
      <c r="O18" s="78">
        <f>sum(O28,O38,O48,O58,O68,O78)</f>
        <v>615556</v>
      </c>
      <c r="P18" s="140"/>
      <c r="Q18" s="81"/>
      <c r="R18" s="78">
        <f>sum(R28,R38,R48,R58,R68,R78)</f>
        <v>382832</v>
      </c>
      <c r="S18" s="75"/>
      <c r="T18" s="81"/>
      <c r="U18" s="78">
        <f>sum(U28,U38,U48,U58,U68,U78)</f>
        <v>394903</v>
      </c>
      <c r="V18" s="75"/>
      <c r="W18" s="81"/>
      <c r="X18" s="78">
        <f>sum(X28,X38,X48,X58,X68,X78)</f>
        <v>437461</v>
      </c>
      <c r="Y18" s="81"/>
      <c r="Z18" s="75"/>
      <c r="AA18" s="78">
        <f>sum(AA28,AA38,AA48,AA58,AA68,AA78)</f>
        <v>498511</v>
      </c>
      <c r="AB18" s="82"/>
      <c r="AC18" s="82"/>
      <c r="AD18" s="82"/>
      <c r="AE18" s="78">
        <f>sum(AE28,AE38,AE48,AE58,AE68,AE78)</f>
        <v>245227</v>
      </c>
      <c r="AF18" s="82"/>
      <c r="AG18" s="82"/>
      <c r="AH18" s="15"/>
      <c r="AI18" s="82"/>
      <c r="AJ18" s="78">
        <f>sum(AJ28,AJ38,AJ48,AJ58,AJ68,AJ78)</f>
        <v>256713</v>
      </c>
      <c r="AK18" s="82"/>
      <c r="AL18" s="82"/>
      <c r="AM18" s="124"/>
      <c r="AN18" s="82"/>
      <c r="AO18" s="78">
        <f>sum(AO28,AO38,AO48,AO58,AO68,AO78)</f>
        <v>172971</v>
      </c>
      <c r="AP18" s="82"/>
      <c r="AQ18" s="82"/>
      <c r="AR18" s="5"/>
      <c r="AS18" s="82"/>
      <c r="AT18" s="78">
        <f>sum(AT28,AT38,AT48,AT58,AT68,AT78)</f>
        <v>102953</v>
      </c>
      <c r="AU18" s="82"/>
      <c r="AV18" s="82"/>
      <c r="AW18" s="5"/>
      <c r="AX18" s="78">
        <f>sum(AX28,AX38,AX48,AX58,AX68,AX78)</f>
        <v>0</v>
      </c>
      <c r="AY18" s="82"/>
      <c r="AZ18" s="82"/>
      <c r="BA18" s="5"/>
      <c r="BB18" s="5"/>
      <c r="BC18" s="5"/>
      <c r="BD18" s="5"/>
      <c r="BE18" s="72"/>
      <c r="BF18" s="83"/>
      <c r="BG18" s="83"/>
      <c r="BH18" s="83"/>
      <c r="BI18" s="83"/>
      <c r="BJ18" s="83"/>
      <c r="BK18" s="84"/>
      <c r="BL18" s="84"/>
      <c r="BM18" s="84"/>
      <c r="BN18" s="84"/>
      <c r="BO18" s="84"/>
      <c r="BP18" s="84"/>
      <c r="BQ18" s="84"/>
      <c r="BR18" s="84"/>
      <c r="BS18" s="84"/>
      <c r="BT18" s="84"/>
      <c r="BU18" s="84"/>
      <c r="BV18" s="84"/>
      <c r="BW18" s="84"/>
      <c r="BX18" s="84"/>
      <c r="BY18" s="84"/>
      <c r="BZ18" s="84"/>
      <c r="CA18" s="84"/>
      <c r="CB18" s="84"/>
      <c r="CC18" s="84"/>
    </row>
    <row r="19" ht="37.5" customHeight="1">
      <c r="A19" s="85"/>
      <c r="B19" s="86"/>
      <c r="C19" s="87"/>
      <c r="D19" s="87"/>
      <c r="E19" s="87"/>
      <c r="F19" s="87"/>
      <c r="G19" s="87"/>
      <c r="H19" s="87"/>
      <c r="I19" s="88"/>
      <c r="J19" s="88"/>
      <c r="K19" s="87"/>
      <c r="L19" s="87"/>
      <c r="M19" s="87"/>
      <c r="N19" s="14"/>
      <c r="O19" s="14"/>
      <c r="P19" s="123"/>
      <c r="Q19" s="14"/>
      <c r="R19" s="12"/>
      <c r="S19" s="14"/>
      <c r="T19" s="15"/>
      <c r="U19" s="12"/>
      <c r="V19" s="14"/>
      <c r="W19" s="15"/>
      <c r="X19" s="15"/>
      <c r="Y19" s="15"/>
      <c r="Z19" s="15"/>
      <c r="AA19" s="15"/>
      <c r="AB19" s="15"/>
      <c r="AC19" s="15"/>
      <c r="AF19" s="15"/>
      <c r="AG19" s="15"/>
      <c r="AH19" s="15"/>
      <c r="AK19" s="15"/>
      <c r="AL19" s="15"/>
      <c r="AM19" s="124"/>
      <c r="AP19" s="15"/>
      <c r="AQ19" s="15"/>
      <c r="AR19" s="5"/>
      <c r="AU19" s="15"/>
      <c r="AV19" s="15"/>
      <c r="AW19" s="5"/>
      <c r="AX19" s="5"/>
      <c r="AY19" s="5"/>
      <c r="AZ19" s="5"/>
      <c r="BA19" s="5"/>
      <c r="BB19" s="5"/>
      <c r="BC19" s="5"/>
      <c r="BD19" s="5"/>
      <c r="BE19" s="92"/>
      <c r="BF19" s="93"/>
      <c r="BG19" s="93"/>
      <c r="BH19" s="93"/>
      <c r="BI19" s="93"/>
      <c r="BJ19" s="93"/>
      <c r="BK19" s="94"/>
      <c r="BL19" s="94"/>
      <c r="BM19" s="94"/>
      <c r="BN19" s="94"/>
      <c r="BO19" s="94"/>
      <c r="BP19" s="94"/>
      <c r="BQ19" s="94"/>
      <c r="BR19" s="94"/>
      <c r="BS19" s="94"/>
      <c r="BT19" s="94"/>
      <c r="BU19" s="94"/>
      <c r="BV19" s="94"/>
      <c r="BW19" s="94"/>
      <c r="BX19" s="94"/>
      <c r="BY19" s="94"/>
      <c r="BZ19" s="94"/>
      <c r="CA19" s="94"/>
      <c r="CB19" s="94"/>
      <c r="CC19" s="94"/>
    </row>
    <row r="20" ht="46.5" customHeight="1">
      <c r="A20" s="2"/>
      <c r="B20" s="33" t="s">
        <v>78</v>
      </c>
      <c r="C20" s="34"/>
      <c r="D20" s="34"/>
      <c r="E20" s="34"/>
      <c r="F20" s="34"/>
      <c r="G20" s="34"/>
      <c r="H20" s="34"/>
      <c r="I20" s="34"/>
      <c r="J20" s="34"/>
      <c r="K20" s="34"/>
      <c r="L20" s="34"/>
      <c r="M20" s="34"/>
      <c r="N20" s="34"/>
      <c r="O20" s="34"/>
      <c r="P20" s="34"/>
      <c r="Q20" s="34"/>
      <c r="R20" s="34"/>
      <c r="S20" s="34"/>
      <c r="T20" s="34"/>
      <c r="U20" s="114"/>
      <c r="V20" s="114"/>
      <c r="W20" s="114"/>
      <c r="X20" s="36"/>
      <c r="Y20" s="36"/>
      <c r="Z20" s="36"/>
      <c r="AA20" s="36"/>
      <c r="AB20" s="36"/>
      <c r="AC20" s="36"/>
      <c r="AD20" s="128"/>
      <c r="AE20" s="128"/>
      <c r="AF20" s="128"/>
      <c r="AG20" s="128"/>
      <c r="AH20" s="15"/>
      <c r="AI20" s="128"/>
      <c r="AJ20" s="128"/>
      <c r="AK20" s="128"/>
      <c r="AL20" s="128"/>
      <c r="AM20" s="124"/>
      <c r="AN20" s="128"/>
      <c r="AO20" s="128"/>
      <c r="AP20" s="128"/>
      <c r="AQ20" s="128"/>
      <c r="AR20" s="5"/>
      <c r="AS20" s="128"/>
      <c r="AT20" s="128"/>
      <c r="AU20" s="128"/>
      <c r="AV20" s="128"/>
      <c r="AW20" s="5"/>
      <c r="AX20" s="128"/>
      <c r="AY20" s="128"/>
      <c r="AZ20" s="128"/>
      <c r="BA20" s="5"/>
      <c r="BB20" s="5"/>
      <c r="BC20" s="5"/>
      <c r="BD20" s="5"/>
      <c r="BE20" s="31"/>
      <c r="BF20" s="32"/>
      <c r="BG20" s="32"/>
      <c r="BH20" s="32"/>
      <c r="BI20" s="32"/>
      <c r="BJ20" s="32"/>
      <c r="BK20" s="7"/>
      <c r="BL20" s="7"/>
      <c r="BM20" s="7"/>
      <c r="BN20" s="7"/>
      <c r="BO20" s="7"/>
      <c r="BP20" s="7"/>
      <c r="BQ20" s="7"/>
      <c r="BR20" s="7"/>
      <c r="BS20" s="7"/>
      <c r="BT20" s="7"/>
      <c r="BU20" s="7"/>
      <c r="BV20" s="7"/>
      <c r="BW20" s="7"/>
      <c r="BX20" s="7"/>
      <c r="BY20" s="7"/>
      <c r="BZ20" s="7"/>
      <c r="CA20" s="7"/>
      <c r="CB20" s="7"/>
      <c r="CC20" s="7"/>
    </row>
    <row r="21" ht="30.0" customHeight="1">
      <c r="A21" s="2"/>
      <c r="B21" s="38" t="s">
        <v>14</v>
      </c>
      <c r="C21" s="39" t="s">
        <v>15</v>
      </c>
      <c r="D21" s="40" t="s">
        <v>16</v>
      </c>
      <c r="E21" s="40" t="s">
        <v>17</v>
      </c>
      <c r="F21" s="141"/>
      <c r="G21" s="40" t="s">
        <v>19</v>
      </c>
      <c r="H21" s="40" t="s">
        <v>20</v>
      </c>
      <c r="I21" s="40" t="s">
        <v>21</v>
      </c>
      <c r="J21" s="40" t="s">
        <v>22</v>
      </c>
      <c r="K21" s="141"/>
      <c r="L21" s="40" t="s">
        <v>19</v>
      </c>
      <c r="M21" s="40" t="s">
        <v>24</v>
      </c>
      <c r="N21" s="40" t="s">
        <v>25</v>
      </c>
      <c r="O21" s="41" t="s">
        <v>27</v>
      </c>
      <c r="P21" s="129" t="s">
        <v>28</v>
      </c>
      <c r="Q21" s="40" t="s">
        <v>19</v>
      </c>
      <c r="R21" s="142" t="s">
        <v>30</v>
      </c>
      <c r="S21" s="143" t="s">
        <v>71</v>
      </c>
      <c r="T21" s="142" t="s">
        <v>19</v>
      </c>
      <c r="U21" s="41" t="s">
        <v>32</v>
      </c>
      <c r="V21" s="130" t="s">
        <v>72</v>
      </c>
      <c r="W21" s="142" t="s">
        <v>19</v>
      </c>
      <c r="X21" s="42" t="s">
        <v>34</v>
      </c>
      <c r="Y21" s="42" t="s">
        <v>35</v>
      </c>
      <c r="Z21" s="40" t="s">
        <v>19</v>
      </c>
      <c r="AA21" s="42" t="s">
        <v>36</v>
      </c>
      <c r="AB21" s="42" t="s">
        <v>37</v>
      </c>
      <c r="AC21" s="40" t="s">
        <v>19</v>
      </c>
      <c r="AD21" s="41" t="s">
        <v>60</v>
      </c>
      <c r="AE21" s="42" t="s">
        <v>38</v>
      </c>
      <c r="AF21" s="42" t="s">
        <v>39</v>
      </c>
      <c r="AG21" s="40" t="s">
        <v>19</v>
      </c>
      <c r="AH21" s="15"/>
      <c r="AI21" s="41" t="s">
        <v>61</v>
      </c>
      <c r="AJ21" s="42" t="s">
        <v>40</v>
      </c>
      <c r="AK21" s="42" t="s">
        <v>41</v>
      </c>
      <c r="AL21" s="40" t="s">
        <v>19</v>
      </c>
      <c r="AM21" s="144"/>
      <c r="AN21" s="41" t="s">
        <v>73</v>
      </c>
      <c r="AO21" s="42" t="s">
        <v>42</v>
      </c>
      <c r="AP21" s="42" t="s">
        <v>43</v>
      </c>
      <c r="AQ21" s="40" t="s">
        <v>19</v>
      </c>
      <c r="AR21" s="5"/>
      <c r="AS21" s="41" t="s">
        <v>74</v>
      </c>
      <c r="AT21" s="42" t="s">
        <v>44</v>
      </c>
      <c r="AU21" s="42" t="s">
        <v>75</v>
      </c>
      <c r="AV21" s="40" t="s">
        <v>19</v>
      </c>
      <c r="AW21" s="5"/>
      <c r="AX21" s="42" t="s">
        <v>46</v>
      </c>
      <c r="AY21" s="42" t="s">
        <v>76</v>
      </c>
      <c r="AZ21" s="40" t="s">
        <v>19</v>
      </c>
      <c r="BA21" s="5"/>
      <c r="BB21" s="5"/>
      <c r="BC21" s="5"/>
      <c r="BD21" s="5"/>
      <c r="BE21" s="9"/>
      <c r="BF21" s="46"/>
      <c r="BG21" s="46"/>
      <c r="BH21" s="46"/>
      <c r="BI21" s="46"/>
      <c r="BJ21" s="46"/>
      <c r="BK21" s="47"/>
      <c r="BL21" s="48"/>
      <c r="BM21" s="48"/>
      <c r="BR21" s="7"/>
      <c r="BS21" s="7"/>
      <c r="BT21" s="7"/>
      <c r="BU21" s="7"/>
      <c r="BV21" s="7"/>
      <c r="BW21" s="7"/>
      <c r="BX21" s="7"/>
      <c r="BY21" s="7"/>
      <c r="BZ21" s="7"/>
      <c r="CA21" s="7"/>
      <c r="CB21" s="7"/>
      <c r="CC21" s="7"/>
    </row>
    <row r="22" ht="30.0" customHeight="1">
      <c r="A22" s="2"/>
      <c r="C22" s="28"/>
      <c r="D22" s="49"/>
      <c r="E22" s="49"/>
      <c r="F22" s="141"/>
      <c r="G22" s="49"/>
      <c r="H22" s="49"/>
      <c r="I22" s="49"/>
      <c r="J22" s="49"/>
      <c r="K22" s="141"/>
      <c r="L22" s="49"/>
      <c r="M22" s="49"/>
      <c r="N22" s="49"/>
      <c r="O22" s="49"/>
      <c r="P22" s="49"/>
      <c r="Q22" s="49"/>
      <c r="R22" s="49"/>
      <c r="S22" s="49"/>
      <c r="T22" s="49"/>
      <c r="U22" s="49"/>
      <c r="V22" s="49"/>
      <c r="W22" s="49"/>
      <c r="X22" s="49"/>
      <c r="Y22" s="49"/>
      <c r="Z22" s="49"/>
      <c r="AA22" s="49"/>
      <c r="AB22" s="49"/>
      <c r="AC22" s="49"/>
      <c r="AD22" s="49"/>
      <c r="AE22" s="49"/>
      <c r="AF22" s="49"/>
      <c r="AG22" s="49"/>
      <c r="AH22" s="15"/>
      <c r="AI22" s="49"/>
      <c r="AJ22" s="49"/>
      <c r="AK22" s="49"/>
      <c r="AL22" s="49"/>
      <c r="AM22" s="144"/>
      <c r="AN22" s="49"/>
      <c r="AO22" s="49"/>
      <c r="AP22" s="49"/>
      <c r="AQ22" s="49"/>
      <c r="AR22" s="5"/>
      <c r="AS22" s="49"/>
      <c r="AT22" s="49"/>
      <c r="AU22" s="49"/>
      <c r="AV22" s="49"/>
      <c r="AW22" s="5"/>
      <c r="AX22" s="49"/>
      <c r="AY22" s="49"/>
      <c r="AZ22" s="49"/>
      <c r="BA22" s="5"/>
      <c r="BB22" s="5"/>
      <c r="BC22" s="5"/>
      <c r="BD22" s="5"/>
      <c r="BE22" s="50"/>
      <c r="BF22" s="51"/>
      <c r="BG22" s="51"/>
      <c r="BH22" s="51"/>
      <c r="BI22" s="51"/>
      <c r="BJ22" s="51"/>
      <c r="BK22" s="52">
        <v>18.0</v>
      </c>
      <c r="BL22" s="52">
        <v>25.0</v>
      </c>
      <c r="BM22" s="52">
        <v>2.0</v>
      </c>
      <c r="BN22" s="52">
        <v>9.0</v>
      </c>
      <c r="BO22" s="52">
        <v>16.0</v>
      </c>
      <c r="BP22" s="52">
        <v>23.0</v>
      </c>
      <c r="BQ22" s="52">
        <v>30.0</v>
      </c>
      <c r="BR22" s="7"/>
      <c r="BS22" s="7"/>
      <c r="BT22" s="7"/>
      <c r="BU22" s="7"/>
      <c r="BV22" s="7"/>
      <c r="BW22" s="7"/>
      <c r="BX22" s="7"/>
      <c r="BY22" s="7"/>
      <c r="BZ22" s="7"/>
      <c r="CA22" s="7"/>
      <c r="CB22" s="7"/>
      <c r="CC22" s="7"/>
    </row>
    <row r="23" ht="51.75" customHeight="1">
      <c r="A23" s="2"/>
      <c r="B23" s="53" t="s">
        <v>77</v>
      </c>
      <c r="C23" s="54" t="s">
        <v>15</v>
      </c>
      <c r="D23" s="55">
        <v>279500.0</v>
      </c>
      <c r="E23" s="95">
        <v>809.0</v>
      </c>
      <c r="F23" s="56"/>
      <c r="G23" s="56">
        <f>E23/D23</f>
        <v>0.002894454383</v>
      </c>
      <c r="H23" s="95">
        <v>3.4</v>
      </c>
      <c r="I23" s="55">
        <v>279500.0</v>
      </c>
      <c r="J23" s="55">
        <v>19890.0</v>
      </c>
      <c r="K23" s="56"/>
      <c r="L23" s="56">
        <f t="shared" ref="L23:L25" si="18">J23/I23</f>
        <v>0.0711627907</v>
      </c>
      <c r="M23" s="57">
        <v>3.39</v>
      </c>
      <c r="N23" s="55">
        <f t="shared" ref="N23:N25" si="19">I23</f>
        <v>279500</v>
      </c>
      <c r="O23" s="64">
        <v>89215.0</v>
      </c>
      <c r="P23" s="58">
        <v>2.99</v>
      </c>
      <c r="Q23" s="56">
        <f t="shared" ref="Q23:Q25" si="20">O23/N23</f>
        <v>0.3191949911</v>
      </c>
      <c r="R23" s="96">
        <v>28997.0</v>
      </c>
      <c r="S23" s="59">
        <v>2.84</v>
      </c>
      <c r="T23" s="132">
        <f t="shared" ref="T23:T25" si="21">R23/N23</f>
        <v>0.103745975</v>
      </c>
      <c r="U23" s="96">
        <v>28644.0</v>
      </c>
      <c r="V23" s="59">
        <v>3.54</v>
      </c>
      <c r="W23" s="132">
        <f t="shared" ref="W23:W25" si="22">U23/N23</f>
        <v>0.1024830054</v>
      </c>
      <c r="X23" s="64">
        <v>36657.0</v>
      </c>
      <c r="Y23" s="133">
        <v>3.29</v>
      </c>
      <c r="Z23" s="132">
        <f t="shared" ref="Z23:Z25" si="23">X23/N23</f>
        <v>0.1311520572</v>
      </c>
      <c r="AA23" s="64">
        <v>67457.0</v>
      </c>
      <c r="AB23" s="58">
        <v>3.14</v>
      </c>
      <c r="AC23" s="132">
        <f t="shared" ref="AC23:AC25" si="24">AA23/$N23</f>
        <v>0.2413488372</v>
      </c>
      <c r="AD23" s="64">
        <v>279500.0</v>
      </c>
      <c r="AE23" s="64">
        <v>63157.0</v>
      </c>
      <c r="AF23" s="133">
        <v>3.28</v>
      </c>
      <c r="AG23" s="132">
        <f>AE23/$N23</f>
        <v>0.2259642218</v>
      </c>
      <c r="AH23" s="15"/>
      <c r="AI23" s="64">
        <v>279500.0</v>
      </c>
      <c r="AJ23" s="64">
        <v>84095.0</v>
      </c>
      <c r="AK23" s="133">
        <v>3.23</v>
      </c>
      <c r="AL23" s="132">
        <f>AJ23/$N23</f>
        <v>0.3008765653</v>
      </c>
      <c r="AM23" s="124"/>
      <c r="AN23" s="64">
        <v>279500.0</v>
      </c>
      <c r="AO23" s="64">
        <v>52149.0</v>
      </c>
      <c r="AP23" s="133">
        <v>3.23</v>
      </c>
      <c r="AQ23" s="132">
        <f>AO23/AN23</f>
        <v>0.1865796064</v>
      </c>
      <c r="AR23" s="5"/>
      <c r="AS23" s="64">
        <v>279500.0</v>
      </c>
      <c r="AT23" s="64">
        <v>35058.0</v>
      </c>
      <c r="AU23" s="133">
        <v>4.37</v>
      </c>
      <c r="AV23" s="132">
        <f>AT23/AS23</f>
        <v>0.125431127</v>
      </c>
      <c r="AW23" s="5"/>
      <c r="AX23" s="134">
        <v>42535.0</v>
      </c>
      <c r="AY23" s="135">
        <v>5.02</v>
      </c>
      <c r="AZ23" s="136">
        <f>AX23/$N23</f>
        <v>0.1521824687</v>
      </c>
      <c r="BA23" s="5"/>
      <c r="BB23" s="5"/>
      <c r="BC23" s="5"/>
      <c r="BD23" s="5"/>
      <c r="BE23" s="60"/>
      <c r="BF23" s="61"/>
      <c r="BG23" s="61"/>
      <c r="BH23" s="61"/>
      <c r="BI23" s="61"/>
      <c r="BJ23" s="61"/>
      <c r="BK23" s="62"/>
      <c r="BL23" s="62"/>
      <c r="BM23" s="62"/>
      <c r="BN23" s="62"/>
      <c r="BO23" s="62"/>
      <c r="BP23" s="62"/>
      <c r="BQ23" s="62"/>
      <c r="BR23" s="62"/>
      <c r="BS23" s="62"/>
      <c r="BT23" s="62"/>
      <c r="BU23" s="62"/>
      <c r="BV23" s="62"/>
      <c r="BW23" s="62"/>
      <c r="BX23" s="62"/>
      <c r="BY23" s="62"/>
      <c r="BZ23" s="62"/>
      <c r="CA23" s="62"/>
      <c r="CB23" s="62"/>
      <c r="CC23" s="62"/>
    </row>
    <row r="24" ht="51.75" customHeight="1">
      <c r="A24" s="2"/>
      <c r="B24" s="108"/>
      <c r="C24" s="54" t="s">
        <v>68</v>
      </c>
      <c r="D24" s="55">
        <v>1060000.0</v>
      </c>
      <c r="E24" s="95" t="s">
        <v>53</v>
      </c>
      <c r="F24" s="95"/>
      <c r="G24" s="95" t="s">
        <v>53</v>
      </c>
      <c r="H24" s="95" t="s">
        <v>53</v>
      </c>
      <c r="I24" s="55">
        <v>1060000.0</v>
      </c>
      <c r="J24" s="55">
        <v>16145.0</v>
      </c>
      <c r="K24" s="56"/>
      <c r="L24" s="56">
        <f t="shared" si="18"/>
        <v>0.01523113208</v>
      </c>
      <c r="M24" s="57">
        <v>2.4</v>
      </c>
      <c r="N24" s="55">
        <f t="shared" si="19"/>
        <v>1060000</v>
      </c>
      <c r="O24" s="64">
        <v>17756.0</v>
      </c>
      <c r="P24" s="58">
        <v>2.6</v>
      </c>
      <c r="Q24" s="56">
        <f t="shared" si="20"/>
        <v>0.0167509434</v>
      </c>
      <c r="R24" s="96">
        <v>19157.0</v>
      </c>
      <c r="S24" s="59">
        <v>2.46</v>
      </c>
      <c r="T24" s="132">
        <f t="shared" si="21"/>
        <v>0.01807264151</v>
      </c>
      <c r="U24" s="96">
        <v>21402.0</v>
      </c>
      <c r="V24" s="59">
        <v>2.95</v>
      </c>
      <c r="W24" s="132">
        <f t="shared" si="22"/>
        <v>0.02019056604</v>
      </c>
      <c r="X24" s="64">
        <v>21840.0</v>
      </c>
      <c r="Y24" s="58">
        <v>2.51</v>
      </c>
      <c r="Z24" s="132">
        <f t="shared" si="23"/>
        <v>0.02060377358</v>
      </c>
      <c r="AA24" s="64">
        <v>32516.0</v>
      </c>
      <c r="AB24" s="58">
        <v>2.5</v>
      </c>
      <c r="AC24" s="132">
        <f t="shared" si="24"/>
        <v>0.0306754717</v>
      </c>
      <c r="AD24" s="64"/>
      <c r="AE24" s="64"/>
      <c r="AF24" s="58"/>
      <c r="AG24" s="132"/>
      <c r="AI24" s="64"/>
      <c r="AJ24" s="64"/>
      <c r="AK24" s="58"/>
      <c r="AL24" s="132"/>
      <c r="AM24" s="124"/>
      <c r="AN24" s="64"/>
      <c r="AO24" s="64"/>
      <c r="AP24" s="58"/>
      <c r="AQ24" s="132"/>
      <c r="AR24" s="5"/>
      <c r="AS24" s="64"/>
      <c r="AT24" s="64"/>
      <c r="AU24" s="58"/>
      <c r="AV24" s="132"/>
      <c r="AW24" s="5"/>
      <c r="AX24" s="134"/>
      <c r="AY24" s="135"/>
      <c r="AZ24" s="136"/>
      <c r="BA24" s="5"/>
      <c r="BB24" s="5"/>
      <c r="BC24" s="5"/>
      <c r="BD24" s="5"/>
      <c r="BE24" s="60"/>
      <c r="BF24" s="61"/>
      <c r="BG24" s="61"/>
      <c r="BH24" s="61"/>
      <c r="BI24" s="61"/>
      <c r="BJ24" s="61"/>
      <c r="BK24" s="62"/>
      <c r="BL24" s="62"/>
      <c r="BM24" s="62"/>
      <c r="BN24" s="62"/>
      <c r="BO24" s="62"/>
      <c r="BP24" s="62"/>
      <c r="BQ24" s="62"/>
      <c r="BR24" s="62"/>
      <c r="BS24" s="62"/>
      <c r="BT24" s="62"/>
      <c r="BU24" s="62"/>
      <c r="BV24" s="62"/>
      <c r="BW24" s="62"/>
      <c r="BX24" s="62"/>
      <c r="BY24" s="62"/>
      <c r="BZ24" s="62"/>
      <c r="CA24" s="62"/>
      <c r="CB24" s="62"/>
      <c r="CC24" s="62"/>
    </row>
    <row r="25" ht="51.75" customHeight="1">
      <c r="A25" s="2"/>
      <c r="B25" s="63"/>
      <c r="C25" s="54" t="s">
        <v>49</v>
      </c>
      <c r="D25" s="55">
        <v>155000.0</v>
      </c>
      <c r="E25" s="106">
        <v>58694.0</v>
      </c>
      <c r="F25" s="56"/>
      <c r="G25" s="56">
        <f>E25/D25</f>
        <v>0.3786709677</v>
      </c>
      <c r="H25" s="145">
        <v>4.19</v>
      </c>
      <c r="I25" s="55">
        <v>155000.0</v>
      </c>
      <c r="J25" s="55">
        <v>53255.0</v>
      </c>
      <c r="K25" s="56"/>
      <c r="L25" s="56">
        <f t="shared" si="18"/>
        <v>0.3435806452</v>
      </c>
      <c r="M25" s="57">
        <v>3.76</v>
      </c>
      <c r="N25" s="55">
        <f t="shared" si="19"/>
        <v>155000</v>
      </c>
      <c r="O25" s="64">
        <v>59730.0</v>
      </c>
      <c r="P25" s="58">
        <v>3.12</v>
      </c>
      <c r="Q25" s="56">
        <f t="shared" si="20"/>
        <v>0.3853548387</v>
      </c>
      <c r="R25" s="96">
        <v>65701.0</v>
      </c>
      <c r="S25" s="59">
        <v>2.89</v>
      </c>
      <c r="T25" s="132">
        <f t="shared" si="21"/>
        <v>0.4238774194</v>
      </c>
      <c r="U25" s="96">
        <v>91108.0</v>
      </c>
      <c r="V25" s="59">
        <v>3.29</v>
      </c>
      <c r="W25" s="132">
        <f t="shared" si="22"/>
        <v>0.5877935484</v>
      </c>
      <c r="X25" s="64">
        <v>107782.0</v>
      </c>
      <c r="Y25" s="58">
        <v>2.96</v>
      </c>
      <c r="Z25" s="132">
        <f t="shared" si="23"/>
        <v>0.6953677419</v>
      </c>
      <c r="AA25" s="64">
        <v>154141.0</v>
      </c>
      <c r="AB25" s="58">
        <v>2.84</v>
      </c>
      <c r="AC25" s="132">
        <f t="shared" si="24"/>
        <v>0.9944580645</v>
      </c>
      <c r="AD25" s="64">
        <v>155000.0</v>
      </c>
      <c r="AE25" s="64">
        <v>8037.0</v>
      </c>
      <c r="AF25" s="58">
        <v>3.18</v>
      </c>
      <c r="AG25" s="132">
        <f>AE25/$N25</f>
        <v>0.0518516129</v>
      </c>
      <c r="AH25" s="15"/>
      <c r="AI25" s="64"/>
      <c r="AJ25" s="64"/>
      <c r="AK25" s="58"/>
      <c r="AL25" s="132"/>
      <c r="AM25" s="124"/>
      <c r="AN25" s="64">
        <v>155000.0</v>
      </c>
      <c r="AO25" s="64">
        <v>4267.0</v>
      </c>
      <c r="AP25" s="58">
        <v>2.49</v>
      </c>
      <c r="AQ25" s="132">
        <f>AO25/AN25</f>
        <v>0.02752903226</v>
      </c>
      <c r="AR25" s="5"/>
      <c r="AS25" s="64"/>
      <c r="AT25" s="64"/>
      <c r="AU25" s="58"/>
      <c r="AV25" s="132"/>
      <c r="AW25" s="5"/>
      <c r="AX25" s="134">
        <v>6337.0</v>
      </c>
      <c r="AY25" s="135">
        <v>1.72</v>
      </c>
      <c r="AZ25" s="136"/>
      <c r="BA25" s="5"/>
      <c r="BB25" s="5"/>
      <c r="BC25" s="5"/>
      <c r="BD25" s="5"/>
      <c r="BE25" s="60"/>
      <c r="BF25" s="61"/>
      <c r="BG25" s="61"/>
      <c r="BH25" s="61"/>
      <c r="BI25" s="61"/>
      <c r="BJ25" s="61"/>
      <c r="BK25" s="7"/>
      <c r="BL25" s="7"/>
      <c r="BM25" s="7"/>
      <c r="BN25" s="7"/>
      <c r="BO25" s="7"/>
      <c r="BP25" s="7"/>
      <c r="BQ25" s="7"/>
      <c r="BR25" s="7"/>
      <c r="BS25" s="7"/>
      <c r="BT25" s="7"/>
      <c r="BU25" s="7"/>
      <c r="BV25" s="7"/>
      <c r="BW25" s="7"/>
      <c r="BX25" s="7"/>
      <c r="BY25" s="7"/>
      <c r="BZ25" s="7"/>
      <c r="CA25" s="7"/>
      <c r="CB25" s="7"/>
      <c r="CC25" s="7"/>
    </row>
    <row r="26" ht="26.25" customHeight="1">
      <c r="A26" s="2"/>
      <c r="B26" s="65"/>
      <c r="C26" s="48"/>
      <c r="D26" s="48"/>
      <c r="E26" s="66"/>
      <c r="F26" s="67"/>
      <c r="G26" s="67"/>
      <c r="H26" s="67"/>
      <c r="I26" s="68"/>
      <c r="J26" s="68"/>
      <c r="K26" s="68"/>
      <c r="L26" s="68"/>
      <c r="M26" s="68"/>
      <c r="N26" s="68"/>
      <c r="O26" s="68"/>
      <c r="P26" s="137"/>
      <c r="Q26" s="68"/>
      <c r="R26" s="146"/>
      <c r="S26" s="146"/>
      <c r="T26" s="146"/>
      <c r="U26" s="146"/>
      <c r="V26" s="146"/>
      <c r="W26" s="146"/>
      <c r="X26" s="68"/>
      <c r="Y26" s="68"/>
      <c r="Z26" s="68"/>
      <c r="AA26" s="70"/>
      <c r="AB26" s="70"/>
      <c r="AC26" s="70"/>
      <c r="AD26" s="70"/>
      <c r="AE26" s="70"/>
      <c r="AF26" s="70"/>
      <c r="AG26" s="70"/>
      <c r="AH26" s="15"/>
      <c r="AI26" s="70"/>
      <c r="AJ26" s="70"/>
      <c r="AK26" s="70"/>
      <c r="AL26" s="70"/>
      <c r="AM26" s="124"/>
      <c r="AN26" s="70"/>
      <c r="AO26" s="70"/>
      <c r="AP26" s="70"/>
      <c r="AQ26" s="70"/>
      <c r="AR26" s="5"/>
      <c r="AS26" s="70"/>
      <c r="AT26" s="70"/>
      <c r="AU26" s="70"/>
      <c r="AV26" s="70"/>
      <c r="AW26" s="5"/>
      <c r="AX26" s="70"/>
      <c r="AY26" s="70"/>
      <c r="AZ26" s="70"/>
      <c r="BA26" s="5"/>
      <c r="BB26" s="5"/>
      <c r="BC26" s="5"/>
      <c r="BD26" s="5"/>
      <c r="BE26" s="2"/>
      <c r="BF26" s="6"/>
      <c r="BG26" s="6"/>
      <c r="BH26" s="6"/>
      <c r="BI26" s="6"/>
      <c r="BJ26" s="6"/>
      <c r="BK26" s="7"/>
      <c r="BL26" s="7"/>
      <c r="BM26" s="7"/>
      <c r="BN26" s="7"/>
      <c r="BO26" s="7"/>
      <c r="BP26" s="7"/>
      <c r="BQ26" s="7"/>
      <c r="BR26" s="7"/>
      <c r="BS26" s="7"/>
      <c r="BT26" s="7"/>
      <c r="BU26" s="7"/>
      <c r="BV26" s="7"/>
      <c r="BW26" s="7"/>
      <c r="BX26" s="7"/>
      <c r="BY26" s="7"/>
      <c r="BZ26" s="7"/>
      <c r="CA26" s="7"/>
      <c r="CB26" s="7"/>
      <c r="CC26" s="7"/>
    </row>
    <row r="27" ht="33.75" customHeight="1">
      <c r="A27" s="72"/>
      <c r="B27" s="112" t="s">
        <v>64</v>
      </c>
      <c r="C27" s="74"/>
      <c r="D27" s="75"/>
      <c r="E27" s="113">
        <f>((sum(E23:E25)-E28)/E28)</f>
        <v>-0.0002520245976</v>
      </c>
      <c r="F27" s="75"/>
      <c r="G27" s="75"/>
      <c r="H27" s="75"/>
      <c r="I27" s="114"/>
      <c r="J27" s="113">
        <f>((sum(J23:J25)-J28)/J28)</f>
        <v>0.2207259553</v>
      </c>
      <c r="K27" s="114"/>
      <c r="L27" s="114"/>
      <c r="M27" s="138"/>
      <c r="N27" s="114"/>
      <c r="O27" s="114"/>
      <c r="P27" s="139"/>
      <c r="Q27" s="114"/>
      <c r="R27" s="147"/>
      <c r="S27" s="148"/>
      <c r="T27" s="147"/>
      <c r="U27" s="147"/>
      <c r="V27" s="148"/>
      <c r="W27" s="147"/>
      <c r="X27" s="114"/>
      <c r="Y27" s="114"/>
      <c r="Z27" s="114"/>
      <c r="AA27" s="82"/>
      <c r="AB27" s="82"/>
      <c r="AC27" s="82"/>
      <c r="AD27" s="82"/>
      <c r="AE27" s="82"/>
      <c r="AF27" s="82"/>
      <c r="AG27" s="82"/>
      <c r="AH27" s="15"/>
      <c r="AI27" s="82"/>
      <c r="AJ27" s="82"/>
      <c r="AK27" s="82"/>
      <c r="AL27" s="82"/>
      <c r="AM27" s="124"/>
      <c r="AN27" s="82"/>
      <c r="AO27" s="82"/>
      <c r="AP27" s="82"/>
      <c r="AQ27" s="82"/>
      <c r="AR27" s="5"/>
      <c r="AS27" s="82"/>
      <c r="AT27" s="82"/>
      <c r="AU27" s="82"/>
      <c r="AV27" s="82"/>
      <c r="AW27" s="5"/>
      <c r="AX27" s="82"/>
      <c r="AY27" s="82"/>
      <c r="AZ27" s="82"/>
      <c r="BA27" s="5"/>
      <c r="BB27" s="5"/>
      <c r="BC27" s="5"/>
      <c r="BD27" s="5"/>
      <c r="BE27" s="72"/>
      <c r="BF27" s="83"/>
      <c r="BG27" s="83"/>
      <c r="BH27" s="83"/>
      <c r="BI27" s="83"/>
      <c r="BJ27" s="83"/>
      <c r="BK27" s="84"/>
      <c r="BL27" s="84"/>
      <c r="BM27" s="84"/>
      <c r="BN27" s="84"/>
      <c r="BO27" s="84"/>
      <c r="BP27" s="84"/>
      <c r="BQ27" s="84"/>
      <c r="BR27" s="84"/>
      <c r="BS27" s="84"/>
      <c r="BT27" s="84"/>
      <c r="BU27" s="84"/>
      <c r="BV27" s="84"/>
      <c r="BW27" s="84"/>
      <c r="BX27" s="84"/>
      <c r="BY27" s="84"/>
      <c r="BZ27" s="84"/>
      <c r="CA27" s="84"/>
      <c r="CB27" s="84"/>
      <c r="CC27" s="84"/>
    </row>
    <row r="28" ht="33.75" customHeight="1">
      <c r="A28" s="72"/>
      <c r="B28" s="73" t="s">
        <v>51</v>
      </c>
      <c r="C28" s="74"/>
      <c r="D28" s="75"/>
      <c r="E28" s="78">
        <v>59518.0</v>
      </c>
      <c r="F28" s="75"/>
      <c r="G28" s="75"/>
      <c r="H28" s="149">
        <v>4.18</v>
      </c>
      <c r="I28" s="75"/>
      <c r="J28" s="76">
        <v>73145.0</v>
      </c>
      <c r="K28" s="79"/>
      <c r="L28" s="79"/>
      <c r="M28" s="112">
        <v>3.66</v>
      </c>
      <c r="N28" s="81"/>
      <c r="O28" s="150">
        <f>sum(O23:O25)</f>
        <v>166701</v>
      </c>
      <c r="P28" s="140"/>
      <c r="Q28" s="81"/>
      <c r="R28" s="150">
        <f>sum(R23:R25)</f>
        <v>113855</v>
      </c>
      <c r="S28" s="151"/>
      <c r="T28" s="152"/>
      <c r="U28" s="150">
        <f>sum(U23:U25)</f>
        <v>141154</v>
      </c>
      <c r="V28" s="140"/>
      <c r="W28" s="81"/>
      <c r="X28" s="150">
        <f>sum(X23:X25)</f>
        <v>166279</v>
      </c>
      <c r="Y28" s="81"/>
      <c r="Z28" s="75"/>
      <c r="AA28" s="150">
        <f>sum(AA23:AA25)</f>
        <v>254114</v>
      </c>
      <c r="AB28" s="140"/>
      <c r="AC28" s="81"/>
      <c r="AD28" s="81"/>
      <c r="AE28" s="150">
        <f>sum(AE23:AE25)</f>
        <v>71194</v>
      </c>
      <c r="AF28" s="82"/>
      <c r="AG28" s="82"/>
      <c r="AH28" s="15"/>
      <c r="AI28" s="82"/>
      <c r="AJ28" s="150">
        <f>sum(AJ23:AJ25)</f>
        <v>84095</v>
      </c>
      <c r="AK28" s="82"/>
      <c r="AL28" s="82"/>
      <c r="AM28" s="124"/>
      <c r="AN28" s="82"/>
      <c r="AO28" s="150">
        <f>sum(AO23:AO25)</f>
        <v>56416</v>
      </c>
      <c r="AP28" s="82"/>
      <c r="AQ28" s="82"/>
      <c r="AR28" s="5"/>
      <c r="AS28" s="82"/>
      <c r="AT28" s="150">
        <f>sum(AT23:AT25)</f>
        <v>35058</v>
      </c>
      <c r="AU28" s="82"/>
      <c r="AV28" s="82"/>
      <c r="AW28" s="5"/>
      <c r="AX28" s="78">
        <f>sum(AX38,AX48,AX58,AX68,AX78,AX88)</f>
        <v>0</v>
      </c>
      <c r="AY28" s="82"/>
      <c r="AZ28" s="82"/>
      <c r="BA28" s="5"/>
      <c r="BB28" s="5"/>
      <c r="BC28" s="5"/>
      <c r="BD28" s="5"/>
      <c r="BE28" s="72"/>
      <c r="BF28" s="83"/>
      <c r="BG28" s="83"/>
      <c r="BH28" s="83"/>
      <c r="BI28" s="83"/>
      <c r="BJ28" s="83"/>
      <c r="BK28" s="84"/>
      <c r="BL28" s="84"/>
      <c r="BM28" s="84"/>
      <c r="BN28" s="84"/>
      <c r="BO28" s="84"/>
      <c r="BP28" s="84"/>
      <c r="BQ28" s="84"/>
      <c r="BR28" s="84"/>
      <c r="BS28" s="84"/>
      <c r="BT28" s="84"/>
      <c r="BU28" s="84"/>
      <c r="BV28" s="84"/>
      <c r="BW28" s="84"/>
      <c r="BX28" s="84"/>
      <c r="BY28" s="84"/>
      <c r="BZ28" s="84"/>
      <c r="CA28" s="84"/>
      <c r="CB28" s="84"/>
      <c r="CC28" s="84"/>
    </row>
    <row r="29" ht="15.75" customHeight="1">
      <c r="A29" s="98"/>
      <c r="B29" s="98"/>
      <c r="C29" s="98"/>
      <c r="D29" s="98"/>
      <c r="E29" s="98"/>
      <c r="F29" s="98"/>
      <c r="G29" s="98"/>
      <c r="H29" s="98"/>
      <c r="I29" s="99"/>
      <c r="J29" s="99"/>
      <c r="K29" s="99"/>
      <c r="L29" s="99"/>
      <c r="M29" s="99"/>
      <c r="N29" s="14"/>
      <c r="O29" s="14"/>
      <c r="P29" s="123"/>
      <c r="Q29" s="14"/>
      <c r="R29" s="12"/>
      <c r="S29" s="14"/>
      <c r="T29" s="15"/>
      <c r="U29" s="12"/>
      <c r="V29" s="14"/>
      <c r="W29" s="15"/>
      <c r="X29" s="15"/>
      <c r="Y29" s="15"/>
      <c r="Z29" s="15"/>
      <c r="AA29" s="15"/>
      <c r="AB29" s="15"/>
      <c r="AC29" s="15"/>
      <c r="AD29" s="15"/>
      <c r="AE29" s="15"/>
      <c r="AF29" s="15"/>
      <c r="AG29" s="15"/>
      <c r="AH29" s="15"/>
      <c r="AI29" s="15"/>
      <c r="AJ29" s="15"/>
      <c r="AK29" s="15"/>
      <c r="AL29" s="15"/>
      <c r="AM29" s="124"/>
      <c r="AN29" s="15"/>
      <c r="AO29" s="15"/>
      <c r="AP29" s="15"/>
      <c r="AQ29" s="15"/>
      <c r="AR29" s="5"/>
      <c r="AS29" s="15"/>
      <c r="AT29" s="15"/>
      <c r="AU29" s="15"/>
      <c r="AV29" s="15"/>
      <c r="AW29" s="5"/>
      <c r="AX29" s="5"/>
      <c r="AY29" s="5"/>
      <c r="AZ29" s="5"/>
      <c r="BA29" s="5"/>
      <c r="BB29" s="5"/>
      <c r="BC29" s="5"/>
      <c r="BD29" s="5"/>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row>
    <row r="30" ht="46.5" customHeight="1">
      <c r="A30" s="2"/>
      <c r="B30" s="33" t="s">
        <v>79</v>
      </c>
      <c r="C30" s="34"/>
      <c r="D30" s="34"/>
      <c r="E30" s="34"/>
      <c r="F30" s="34"/>
      <c r="G30" s="34"/>
      <c r="H30" s="34"/>
      <c r="I30" s="34"/>
      <c r="J30" s="34"/>
      <c r="K30" s="34"/>
      <c r="L30" s="34"/>
      <c r="M30" s="34"/>
      <c r="N30" s="34"/>
      <c r="O30" s="34"/>
      <c r="P30" s="34"/>
      <c r="Q30" s="34"/>
      <c r="R30" s="34"/>
      <c r="S30" s="34"/>
      <c r="T30" s="34"/>
      <c r="U30" s="114"/>
      <c r="V30" s="114"/>
      <c r="W30" s="114"/>
      <c r="X30" s="36"/>
      <c r="Y30" s="36"/>
      <c r="Z30" s="36"/>
      <c r="AA30" s="36"/>
      <c r="AB30" s="36"/>
      <c r="AC30" s="36"/>
      <c r="AD30" s="128"/>
      <c r="AE30" s="128"/>
      <c r="AF30" s="128"/>
      <c r="AG30" s="128"/>
      <c r="AH30" s="15"/>
      <c r="AI30" s="128"/>
      <c r="AJ30" s="128"/>
      <c r="AK30" s="128"/>
      <c r="AL30" s="128"/>
      <c r="AM30" s="124"/>
      <c r="AN30" s="128"/>
      <c r="AO30" s="128"/>
      <c r="AP30" s="128"/>
      <c r="AQ30" s="128"/>
      <c r="AR30" s="5"/>
      <c r="AS30" s="128"/>
      <c r="AT30" s="128"/>
      <c r="AU30" s="128"/>
      <c r="AV30" s="128"/>
      <c r="AW30" s="5"/>
      <c r="AX30" s="153"/>
      <c r="AY30" s="153"/>
      <c r="AZ30" s="153"/>
      <c r="BA30" s="5"/>
      <c r="BB30" s="5"/>
      <c r="BC30" s="5"/>
      <c r="BD30" s="5"/>
      <c r="BE30" s="31"/>
      <c r="BF30" s="32"/>
      <c r="BG30" s="32"/>
      <c r="BH30" s="32"/>
      <c r="BI30" s="32"/>
      <c r="BJ30" s="32"/>
      <c r="BK30" s="7"/>
      <c r="BL30" s="7"/>
      <c r="BM30" s="7"/>
      <c r="BN30" s="7"/>
      <c r="BO30" s="7"/>
      <c r="BP30" s="7"/>
      <c r="BQ30" s="7"/>
      <c r="BR30" s="7"/>
      <c r="BS30" s="7"/>
      <c r="BT30" s="7"/>
      <c r="BU30" s="7"/>
      <c r="BV30" s="7"/>
      <c r="BW30" s="7"/>
      <c r="BX30" s="7"/>
      <c r="BY30" s="7"/>
      <c r="BZ30" s="7"/>
      <c r="CA30" s="7"/>
      <c r="CB30" s="7"/>
      <c r="CC30" s="7"/>
    </row>
    <row r="31" ht="30.0" customHeight="1">
      <c r="A31" s="2"/>
      <c r="B31" s="38" t="s">
        <v>14</v>
      </c>
      <c r="C31" s="39" t="s">
        <v>15</v>
      </c>
      <c r="D31" s="40" t="s">
        <v>16</v>
      </c>
      <c r="E31" s="40" t="s">
        <v>17</v>
      </c>
      <c r="F31" s="141"/>
      <c r="G31" s="40" t="s">
        <v>19</v>
      </c>
      <c r="H31" s="40" t="s">
        <v>20</v>
      </c>
      <c r="I31" s="40" t="s">
        <v>21</v>
      </c>
      <c r="J31" s="40" t="s">
        <v>22</v>
      </c>
      <c r="K31" s="141"/>
      <c r="L31" s="40" t="s">
        <v>19</v>
      </c>
      <c r="M31" s="40" t="s">
        <v>24</v>
      </c>
      <c r="N31" s="40" t="s">
        <v>25</v>
      </c>
      <c r="O31" s="41" t="s">
        <v>27</v>
      </c>
      <c r="P31" s="129" t="s">
        <v>28</v>
      </c>
      <c r="Q31" s="40" t="s">
        <v>19</v>
      </c>
      <c r="R31" s="142" t="s">
        <v>30</v>
      </c>
      <c r="S31" s="143" t="s">
        <v>71</v>
      </c>
      <c r="T31" s="142" t="s">
        <v>19</v>
      </c>
      <c r="U31" s="41" t="s">
        <v>32</v>
      </c>
      <c r="V31" s="130" t="s">
        <v>72</v>
      </c>
      <c r="W31" s="142" t="s">
        <v>19</v>
      </c>
      <c r="X31" s="42" t="s">
        <v>34</v>
      </c>
      <c r="Y31" s="42" t="s">
        <v>35</v>
      </c>
      <c r="Z31" s="40" t="s">
        <v>19</v>
      </c>
      <c r="AA31" s="42" t="s">
        <v>36</v>
      </c>
      <c r="AB31" s="42" t="s">
        <v>37</v>
      </c>
      <c r="AC31" s="40" t="s">
        <v>19</v>
      </c>
      <c r="AD31" s="41" t="s">
        <v>60</v>
      </c>
      <c r="AE31" s="42" t="s">
        <v>38</v>
      </c>
      <c r="AF31" s="42" t="s">
        <v>39</v>
      </c>
      <c r="AG31" s="40" t="s">
        <v>19</v>
      </c>
      <c r="AH31" s="15"/>
      <c r="AI31" s="41" t="s">
        <v>61</v>
      </c>
      <c r="AJ31" s="42" t="s">
        <v>40</v>
      </c>
      <c r="AK31" s="42" t="s">
        <v>41</v>
      </c>
      <c r="AL31" s="40" t="s">
        <v>19</v>
      </c>
      <c r="AM31" s="144"/>
      <c r="AN31" s="41" t="s">
        <v>73</v>
      </c>
      <c r="AO31" s="42" t="s">
        <v>42</v>
      </c>
      <c r="AP31" s="42" t="s">
        <v>43</v>
      </c>
      <c r="AQ31" s="40" t="s">
        <v>19</v>
      </c>
      <c r="AR31" s="5"/>
      <c r="AS31" s="41" t="s">
        <v>74</v>
      </c>
      <c r="AT31" s="42" t="s">
        <v>44</v>
      </c>
      <c r="AU31" s="42" t="s">
        <v>75</v>
      </c>
      <c r="AV31" s="40" t="s">
        <v>19</v>
      </c>
      <c r="AW31" s="5"/>
      <c r="AX31" s="154" t="s">
        <v>46</v>
      </c>
      <c r="AY31" s="154" t="s">
        <v>76</v>
      </c>
      <c r="AZ31" s="155" t="s">
        <v>19</v>
      </c>
      <c r="BA31" s="5"/>
      <c r="BB31" s="5"/>
      <c r="BC31" s="5"/>
      <c r="BD31" s="5"/>
      <c r="BE31" s="9"/>
      <c r="BF31" s="46"/>
      <c r="BG31" s="46"/>
      <c r="BH31" s="46"/>
      <c r="BI31" s="46"/>
      <c r="BJ31" s="46"/>
      <c r="BK31" s="47"/>
      <c r="BL31" s="48"/>
      <c r="BM31" s="48"/>
      <c r="BR31" s="7"/>
      <c r="BS31" s="7"/>
      <c r="BT31" s="7"/>
      <c r="BU31" s="7"/>
      <c r="BV31" s="7"/>
      <c r="BW31" s="7"/>
      <c r="BX31" s="7"/>
      <c r="BY31" s="7"/>
      <c r="BZ31" s="7"/>
      <c r="CA31" s="7"/>
      <c r="CB31" s="7"/>
      <c r="CC31" s="7"/>
    </row>
    <row r="32" ht="30.0" customHeight="1">
      <c r="A32" s="2"/>
      <c r="C32" s="28"/>
      <c r="D32" s="49"/>
      <c r="E32" s="49"/>
      <c r="F32" s="141"/>
      <c r="G32" s="49"/>
      <c r="H32" s="49"/>
      <c r="I32" s="49"/>
      <c r="J32" s="49"/>
      <c r="K32" s="141"/>
      <c r="L32" s="49"/>
      <c r="M32" s="49"/>
      <c r="N32" s="49"/>
      <c r="O32" s="49"/>
      <c r="P32" s="49"/>
      <c r="Q32" s="49"/>
      <c r="R32" s="49"/>
      <c r="S32" s="49"/>
      <c r="T32" s="49"/>
      <c r="U32" s="49"/>
      <c r="V32" s="49"/>
      <c r="W32" s="49"/>
      <c r="X32" s="49"/>
      <c r="Y32" s="49"/>
      <c r="Z32" s="49"/>
      <c r="AA32" s="49"/>
      <c r="AB32" s="49"/>
      <c r="AC32" s="49"/>
      <c r="AD32" s="49"/>
      <c r="AE32" s="49"/>
      <c r="AF32" s="49"/>
      <c r="AG32" s="49"/>
      <c r="AH32" s="15"/>
      <c r="AI32" s="49"/>
      <c r="AJ32" s="49"/>
      <c r="AK32" s="49"/>
      <c r="AL32" s="49"/>
      <c r="AM32" s="144"/>
      <c r="AN32" s="49"/>
      <c r="AO32" s="49"/>
      <c r="AP32" s="49"/>
      <c r="AQ32" s="49"/>
      <c r="AR32" s="5"/>
      <c r="AS32" s="49"/>
      <c r="AT32" s="49"/>
      <c r="AU32" s="49"/>
      <c r="AV32" s="49"/>
      <c r="AW32" s="5"/>
      <c r="AX32" s="49"/>
      <c r="AY32" s="49"/>
      <c r="AZ32" s="49"/>
      <c r="BA32" s="5"/>
      <c r="BB32" s="5"/>
      <c r="BC32" s="5"/>
      <c r="BD32" s="5"/>
      <c r="BE32" s="50"/>
      <c r="BF32" s="51"/>
      <c r="BG32" s="51"/>
      <c r="BH32" s="51"/>
      <c r="BI32" s="51"/>
      <c r="BJ32" s="51"/>
      <c r="BK32" s="52">
        <v>18.0</v>
      </c>
      <c r="BL32" s="52">
        <v>25.0</v>
      </c>
      <c r="BM32" s="52">
        <v>2.0</v>
      </c>
      <c r="BN32" s="52">
        <v>9.0</v>
      </c>
      <c r="BO32" s="52">
        <v>16.0</v>
      </c>
      <c r="BP32" s="52">
        <v>23.0</v>
      </c>
      <c r="BQ32" s="52">
        <v>30.0</v>
      </c>
      <c r="BR32" s="7"/>
      <c r="BS32" s="7"/>
      <c r="BT32" s="7"/>
      <c r="BU32" s="7"/>
      <c r="BV32" s="7"/>
      <c r="BW32" s="7"/>
      <c r="BX32" s="7"/>
      <c r="BY32" s="7"/>
      <c r="BZ32" s="7"/>
      <c r="CA32" s="7"/>
      <c r="CB32" s="7"/>
      <c r="CC32" s="7"/>
    </row>
    <row r="33" ht="51.75" customHeight="1">
      <c r="A33" s="2"/>
      <c r="B33" s="53" t="s">
        <v>77</v>
      </c>
      <c r="C33" s="54" t="s">
        <v>15</v>
      </c>
      <c r="D33" s="55">
        <v>279500.0</v>
      </c>
      <c r="E33" s="55" t="s">
        <v>53</v>
      </c>
      <c r="F33" s="55"/>
      <c r="G33" s="55" t="s">
        <v>53</v>
      </c>
      <c r="H33" s="95" t="s">
        <v>53</v>
      </c>
      <c r="I33" s="55">
        <v>279500.0</v>
      </c>
      <c r="J33" s="55">
        <v>12287.0</v>
      </c>
      <c r="K33" s="56"/>
      <c r="L33" s="56">
        <f t="shared" ref="L33:L35" si="25">J33/I33</f>
        <v>0.04396064401</v>
      </c>
      <c r="M33" s="57">
        <v>2.82</v>
      </c>
      <c r="N33" s="55">
        <f t="shared" ref="N33:N35" si="26">I33</f>
        <v>279500</v>
      </c>
      <c r="O33" s="64">
        <v>37647.0</v>
      </c>
      <c r="P33" s="58">
        <v>2.93</v>
      </c>
      <c r="Q33" s="56">
        <f t="shared" ref="Q33:Q35" si="27">O33/N33</f>
        <v>0.1346940966</v>
      </c>
      <c r="R33" s="96">
        <v>11259.0</v>
      </c>
      <c r="S33" s="59">
        <v>3.09</v>
      </c>
      <c r="T33" s="132">
        <f t="shared" ref="T33:T35" si="28">R33/N33</f>
        <v>0.04028264758</v>
      </c>
      <c r="U33" s="96">
        <v>12910.0</v>
      </c>
      <c r="V33" s="59">
        <v>3.33</v>
      </c>
      <c r="W33" s="132">
        <f t="shared" ref="W33:W35" si="29">U33/N33</f>
        <v>0.04618962433</v>
      </c>
      <c r="X33" s="64">
        <v>14218.0</v>
      </c>
      <c r="Y33" s="133">
        <v>3.16</v>
      </c>
      <c r="Z33" s="132">
        <f t="shared" ref="Z33:Z35" si="30">X33/N33</f>
        <v>0.05086940966</v>
      </c>
      <c r="AA33" s="64">
        <v>12512.0</v>
      </c>
      <c r="AB33" s="133">
        <v>3.68</v>
      </c>
      <c r="AC33" s="132">
        <f t="shared" ref="AC33:AC35" si="31">AA33/$N33</f>
        <v>0.04476565295</v>
      </c>
      <c r="AD33" s="64">
        <v>279500.0</v>
      </c>
      <c r="AE33" s="64">
        <v>21114.0</v>
      </c>
      <c r="AF33" s="133">
        <v>3.44</v>
      </c>
      <c r="AG33" s="132">
        <f>AE33/$N33</f>
        <v>0.07554203936</v>
      </c>
      <c r="AH33" s="15"/>
      <c r="AI33" s="64">
        <v>279500.0</v>
      </c>
      <c r="AJ33" s="64">
        <v>37935.0</v>
      </c>
      <c r="AK33" s="133">
        <v>3.19</v>
      </c>
      <c r="AL33" s="132">
        <f>AJ33/$N33</f>
        <v>0.1357245081</v>
      </c>
      <c r="AM33" s="124"/>
      <c r="AN33" s="64">
        <v>279500.0</v>
      </c>
      <c r="AO33" s="64">
        <v>20469.0</v>
      </c>
      <c r="AP33" s="133">
        <v>4.62</v>
      </c>
      <c r="AQ33" s="132">
        <f>AO33/$N33</f>
        <v>0.07323434705</v>
      </c>
      <c r="AR33" s="5"/>
      <c r="AS33" s="64">
        <v>279500.0</v>
      </c>
      <c r="AT33" s="64">
        <v>10484.0</v>
      </c>
      <c r="AU33" s="133">
        <v>7.62</v>
      </c>
      <c r="AV33" s="132">
        <f>AT33/$N33</f>
        <v>0.037509839</v>
      </c>
      <c r="AW33" s="5"/>
      <c r="AX33" s="134">
        <v>13720.0</v>
      </c>
      <c r="AY33" s="135">
        <v>6.04</v>
      </c>
      <c r="AZ33" s="136">
        <f>AX33/$N33</f>
        <v>0.04908765653</v>
      </c>
      <c r="BA33" s="5"/>
      <c r="BB33" s="5"/>
      <c r="BC33" s="5"/>
      <c r="BD33" s="5"/>
      <c r="BE33" s="60"/>
      <c r="BF33" s="61"/>
      <c r="BG33" s="61"/>
      <c r="BH33" s="61"/>
      <c r="BI33" s="61"/>
      <c r="BJ33" s="61"/>
      <c r="BK33" s="62"/>
      <c r="BL33" s="62"/>
      <c r="BM33" s="62"/>
      <c r="BN33" s="62"/>
      <c r="BO33" s="62"/>
      <c r="BP33" s="62"/>
      <c r="BQ33" s="62"/>
      <c r="BR33" s="62"/>
      <c r="BS33" s="62"/>
      <c r="BT33" s="62"/>
      <c r="BU33" s="62"/>
      <c r="BV33" s="62"/>
      <c r="BW33" s="62"/>
      <c r="BX33" s="62"/>
      <c r="BY33" s="62"/>
      <c r="BZ33" s="62"/>
      <c r="CA33" s="62"/>
      <c r="CB33" s="62"/>
      <c r="CC33" s="62"/>
    </row>
    <row r="34" ht="51.75" customHeight="1">
      <c r="A34" s="2"/>
      <c r="B34" s="108"/>
      <c r="C34" s="54" t="s">
        <v>68</v>
      </c>
      <c r="D34" s="55">
        <v>1060000.0</v>
      </c>
      <c r="E34" s="55">
        <v>1332.0</v>
      </c>
      <c r="F34" s="56"/>
      <c r="G34" s="56">
        <f t="shared" ref="G34:G35" si="32">E34/D34</f>
        <v>0.001256603774</v>
      </c>
      <c r="H34" s="95">
        <v>1.73</v>
      </c>
      <c r="I34" s="55">
        <v>1060000.0</v>
      </c>
      <c r="J34" s="55">
        <v>9043.0</v>
      </c>
      <c r="K34" s="56"/>
      <c r="L34" s="56">
        <f t="shared" si="25"/>
        <v>0.008531132075</v>
      </c>
      <c r="M34" s="57">
        <v>1.93</v>
      </c>
      <c r="N34" s="55">
        <f t="shared" si="26"/>
        <v>1060000</v>
      </c>
      <c r="O34" s="64">
        <v>7695.0</v>
      </c>
      <c r="P34" s="58">
        <v>2.26</v>
      </c>
      <c r="Q34" s="56">
        <f t="shared" si="27"/>
        <v>0.007259433962</v>
      </c>
      <c r="R34" s="96">
        <v>6402.0</v>
      </c>
      <c r="S34" s="59">
        <v>2.73</v>
      </c>
      <c r="T34" s="132">
        <f t="shared" si="28"/>
        <v>0.006039622642</v>
      </c>
      <c r="U34" s="96">
        <v>7059.0</v>
      </c>
      <c r="V34" s="59">
        <v>2.94</v>
      </c>
      <c r="W34" s="132">
        <f t="shared" si="29"/>
        <v>0.006659433962</v>
      </c>
      <c r="X34" s="64">
        <v>8271.0</v>
      </c>
      <c r="Y34" s="58">
        <v>2.48</v>
      </c>
      <c r="Z34" s="132">
        <f t="shared" si="30"/>
        <v>0.007802830189</v>
      </c>
      <c r="AA34" s="64">
        <v>9348.0</v>
      </c>
      <c r="AB34" s="58">
        <v>2.3</v>
      </c>
      <c r="AC34" s="132">
        <f t="shared" si="31"/>
        <v>0.008818867925</v>
      </c>
      <c r="AD34" s="64"/>
      <c r="AE34" s="64"/>
      <c r="AF34" s="58"/>
      <c r="AG34" s="132"/>
      <c r="AH34" s="15"/>
      <c r="AI34" s="64"/>
      <c r="AJ34" s="64"/>
      <c r="AK34" s="58"/>
      <c r="AL34" s="132"/>
      <c r="AM34" s="124"/>
      <c r="AN34" s="64"/>
      <c r="AO34" s="64"/>
      <c r="AP34" s="58"/>
      <c r="AQ34" s="132"/>
      <c r="AR34" s="5"/>
      <c r="AS34" s="64"/>
      <c r="AT34" s="64"/>
      <c r="AU34" s="58"/>
      <c r="AV34" s="132"/>
      <c r="AW34" s="5"/>
      <c r="AX34" s="134"/>
      <c r="AY34" s="135"/>
      <c r="AZ34" s="136"/>
      <c r="BA34" s="5"/>
      <c r="BB34" s="5"/>
      <c r="BC34" s="5"/>
      <c r="BD34" s="5"/>
      <c r="BE34" s="60"/>
      <c r="BF34" s="61"/>
      <c r="BG34" s="61"/>
      <c r="BH34" s="61"/>
      <c r="BI34" s="61"/>
      <c r="BJ34" s="61"/>
      <c r="BK34" s="62"/>
      <c r="BL34" s="62"/>
      <c r="BM34" s="62"/>
      <c r="BN34" s="62"/>
      <c r="BO34" s="62"/>
      <c r="BP34" s="62"/>
      <c r="BQ34" s="62"/>
      <c r="BR34" s="62"/>
      <c r="BS34" s="62"/>
      <c r="BT34" s="62"/>
      <c r="BU34" s="62"/>
      <c r="BV34" s="62"/>
      <c r="BW34" s="62"/>
      <c r="BX34" s="62"/>
      <c r="BY34" s="62"/>
      <c r="BZ34" s="62"/>
      <c r="CA34" s="62"/>
      <c r="CB34" s="62"/>
      <c r="CC34" s="62"/>
    </row>
    <row r="35" ht="51.75" customHeight="1">
      <c r="A35" s="2"/>
      <c r="B35" s="63"/>
      <c r="C35" s="54" t="s">
        <v>49</v>
      </c>
      <c r="D35" s="55">
        <v>155000.0</v>
      </c>
      <c r="E35" s="106">
        <v>24920.0</v>
      </c>
      <c r="F35" s="56"/>
      <c r="G35" s="56">
        <f t="shared" si="32"/>
        <v>0.1607741935</v>
      </c>
      <c r="H35" s="145">
        <v>4.25</v>
      </c>
      <c r="I35" s="55">
        <v>155000.0</v>
      </c>
      <c r="J35" s="55">
        <v>25660.0</v>
      </c>
      <c r="K35" s="56"/>
      <c r="L35" s="56">
        <f t="shared" si="25"/>
        <v>0.1655483871</v>
      </c>
      <c r="M35" s="57">
        <v>2.96</v>
      </c>
      <c r="N35" s="55">
        <f t="shared" si="26"/>
        <v>155000</v>
      </c>
      <c r="O35" s="64">
        <v>25123.0</v>
      </c>
      <c r="P35" s="58">
        <v>3.01</v>
      </c>
      <c r="Q35" s="56">
        <f t="shared" si="27"/>
        <v>0.162083871</v>
      </c>
      <c r="R35" s="96">
        <v>24075.0</v>
      </c>
      <c r="S35" s="59">
        <v>3.15</v>
      </c>
      <c r="T35" s="132">
        <f t="shared" si="28"/>
        <v>0.1553225806</v>
      </c>
      <c r="U35" s="96">
        <v>31348.0</v>
      </c>
      <c r="V35" s="59">
        <v>3.47</v>
      </c>
      <c r="W35" s="132">
        <f t="shared" si="29"/>
        <v>0.2022451613</v>
      </c>
      <c r="X35" s="64">
        <v>36342.0</v>
      </c>
      <c r="Y35" s="58">
        <v>3.09</v>
      </c>
      <c r="Z35" s="132">
        <f t="shared" si="30"/>
        <v>0.2344645161</v>
      </c>
      <c r="AA35" s="64">
        <v>35075.0</v>
      </c>
      <c r="AB35" s="58">
        <v>2.7</v>
      </c>
      <c r="AC35" s="132">
        <f t="shared" si="31"/>
        <v>0.2262903226</v>
      </c>
      <c r="AD35" s="64">
        <v>155000.0</v>
      </c>
      <c r="AE35" s="64">
        <v>5896.0</v>
      </c>
      <c r="AF35" s="58">
        <v>3.42</v>
      </c>
      <c r="AG35" s="132">
        <f>AE35/$N35</f>
        <v>0.03803870968</v>
      </c>
      <c r="AH35" s="15"/>
      <c r="AI35" s="64"/>
      <c r="AJ35" s="64"/>
      <c r="AK35" s="58"/>
      <c r="AL35" s="132"/>
      <c r="AM35" s="124"/>
      <c r="AN35" s="64">
        <v>155000.0</v>
      </c>
      <c r="AO35" s="64">
        <v>3635.0</v>
      </c>
      <c r="AP35" s="58">
        <v>2.92</v>
      </c>
      <c r="AQ35" s="132">
        <f>AO35/$N35</f>
        <v>0.0234516129</v>
      </c>
      <c r="AR35" s="5"/>
      <c r="AS35" s="64"/>
      <c r="AT35" s="64"/>
      <c r="AU35" s="58"/>
      <c r="AV35" s="132"/>
      <c r="AW35" s="5"/>
      <c r="AX35" s="134">
        <v>5484.0</v>
      </c>
      <c r="AY35" s="135">
        <v>1.94</v>
      </c>
      <c r="AZ35" s="136"/>
      <c r="BA35" s="5"/>
      <c r="BB35" s="5"/>
      <c r="BC35" s="5"/>
      <c r="BD35" s="5"/>
      <c r="BE35" s="60"/>
      <c r="BF35" s="61"/>
      <c r="BG35" s="61"/>
      <c r="BH35" s="61"/>
      <c r="BI35" s="61"/>
      <c r="BJ35" s="61"/>
      <c r="BK35" s="7"/>
      <c r="BL35" s="7"/>
      <c r="BM35" s="7"/>
      <c r="BN35" s="7"/>
      <c r="BO35" s="7"/>
      <c r="BP35" s="7"/>
      <c r="BQ35" s="7"/>
      <c r="BR35" s="7"/>
      <c r="BS35" s="7"/>
      <c r="BT35" s="7"/>
      <c r="BU35" s="7"/>
      <c r="BV35" s="7"/>
      <c r="BW35" s="7"/>
      <c r="BX35" s="7"/>
      <c r="BY35" s="7"/>
      <c r="BZ35" s="7"/>
      <c r="CA35" s="7"/>
      <c r="CB35" s="7"/>
      <c r="CC35" s="7"/>
    </row>
    <row r="36" ht="26.25" customHeight="1">
      <c r="A36" s="2"/>
      <c r="B36" s="65"/>
      <c r="C36" s="48"/>
      <c r="D36" s="48"/>
      <c r="E36" s="66"/>
      <c r="F36" s="67"/>
      <c r="G36" s="67"/>
      <c r="H36" s="67"/>
      <c r="I36" s="68"/>
      <c r="J36" s="68"/>
      <c r="K36" s="68"/>
      <c r="L36" s="68"/>
      <c r="M36" s="68"/>
      <c r="N36" s="68"/>
      <c r="O36" s="68"/>
      <c r="P36" s="137"/>
      <c r="Q36" s="68"/>
      <c r="R36" s="146"/>
      <c r="S36" s="146"/>
      <c r="T36" s="146"/>
      <c r="U36" s="146"/>
      <c r="V36" s="146"/>
      <c r="W36" s="146"/>
      <c r="X36" s="68"/>
      <c r="Y36" s="68"/>
      <c r="Z36" s="68"/>
      <c r="AA36" s="70"/>
      <c r="AB36" s="70"/>
      <c r="AC36" s="70"/>
      <c r="AD36" s="70"/>
      <c r="AE36" s="70"/>
      <c r="AF36" s="70"/>
      <c r="AG36" s="70"/>
      <c r="AH36" s="15"/>
      <c r="AI36" s="70"/>
      <c r="AJ36" s="70"/>
      <c r="AK36" s="70"/>
      <c r="AL36" s="70"/>
      <c r="AM36" s="124"/>
      <c r="AN36" s="70"/>
      <c r="AO36" s="70"/>
      <c r="AP36" s="70"/>
      <c r="AQ36" s="70"/>
      <c r="AR36" s="5"/>
      <c r="AS36" s="70"/>
      <c r="AT36" s="70"/>
      <c r="AU36" s="70"/>
      <c r="AV36" s="70"/>
      <c r="AW36" s="5"/>
      <c r="AX36" s="156"/>
      <c r="AY36" s="156"/>
      <c r="AZ36" s="156"/>
      <c r="BA36" s="5"/>
      <c r="BB36" s="5"/>
      <c r="BC36" s="5"/>
      <c r="BD36" s="5"/>
      <c r="BE36" s="2"/>
      <c r="BF36" s="6"/>
      <c r="BG36" s="6"/>
      <c r="BH36" s="6"/>
      <c r="BI36" s="6"/>
      <c r="BJ36" s="6"/>
      <c r="BK36" s="7"/>
      <c r="BL36" s="7"/>
      <c r="BM36" s="7"/>
      <c r="BN36" s="7"/>
      <c r="BO36" s="7"/>
      <c r="BP36" s="7"/>
      <c r="BQ36" s="7"/>
      <c r="BR36" s="7"/>
      <c r="BS36" s="7"/>
      <c r="BT36" s="7"/>
      <c r="BU36" s="7"/>
      <c r="BV36" s="7"/>
      <c r="BW36" s="7"/>
      <c r="BX36" s="7"/>
      <c r="BY36" s="7"/>
      <c r="BZ36" s="7"/>
      <c r="CA36" s="7"/>
      <c r="CB36" s="7"/>
      <c r="CC36" s="7"/>
    </row>
    <row r="37" ht="33.75" customHeight="1">
      <c r="A37" s="72"/>
      <c r="B37" s="112" t="s">
        <v>64</v>
      </c>
      <c r="C37" s="74"/>
      <c r="D37" s="75"/>
      <c r="E37" s="113">
        <f>((sum(E33:E35)-E38)/E38)</f>
        <v>0.05349331835</v>
      </c>
      <c r="F37" s="75"/>
      <c r="G37" s="75"/>
      <c r="H37" s="75"/>
      <c r="I37" s="114"/>
      <c r="J37" s="113">
        <f>((sum(J33:J35)-J38)/J38)</f>
        <v>0.2383060584</v>
      </c>
      <c r="K37" s="114"/>
      <c r="L37" s="114"/>
      <c r="M37" s="138"/>
      <c r="N37" s="114"/>
      <c r="O37" s="114"/>
      <c r="P37" s="139"/>
      <c r="Q37" s="114"/>
      <c r="R37" s="147"/>
      <c r="S37" s="148"/>
      <c r="T37" s="147"/>
      <c r="U37" s="147"/>
      <c r="V37" s="148"/>
      <c r="W37" s="147"/>
      <c r="X37" s="114"/>
      <c r="Y37" s="114"/>
      <c r="Z37" s="114"/>
      <c r="AA37" s="82"/>
      <c r="AB37" s="82"/>
      <c r="AC37" s="82"/>
      <c r="AD37" s="82"/>
      <c r="AE37" s="82"/>
      <c r="AF37" s="82"/>
      <c r="AG37" s="82"/>
      <c r="AH37" s="15"/>
      <c r="AI37" s="82"/>
      <c r="AJ37" s="82"/>
      <c r="AK37" s="82"/>
      <c r="AL37" s="82"/>
      <c r="AM37" s="124"/>
      <c r="AN37" s="82"/>
      <c r="AO37" s="82"/>
      <c r="AP37" s="82"/>
      <c r="AQ37" s="82"/>
      <c r="AR37" s="5"/>
      <c r="AS37" s="82"/>
      <c r="AT37" s="82"/>
      <c r="AU37" s="82"/>
      <c r="AV37" s="82"/>
      <c r="AW37" s="5"/>
      <c r="AX37" s="153"/>
      <c r="AY37" s="153"/>
      <c r="AZ37" s="153"/>
      <c r="BA37" s="5"/>
      <c r="BB37" s="5"/>
      <c r="BC37" s="5"/>
      <c r="BD37" s="5"/>
      <c r="BE37" s="72"/>
      <c r="BF37" s="83"/>
      <c r="BG37" s="83"/>
      <c r="BH37" s="83"/>
      <c r="BI37" s="83"/>
      <c r="BJ37" s="83"/>
      <c r="BK37" s="84"/>
      <c r="BL37" s="84"/>
      <c r="BM37" s="84"/>
      <c r="BN37" s="84"/>
      <c r="BO37" s="84"/>
      <c r="BP37" s="84"/>
      <c r="BQ37" s="84"/>
      <c r="BR37" s="84"/>
      <c r="BS37" s="84"/>
      <c r="BT37" s="84"/>
      <c r="BU37" s="84"/>
      <c r="BV37" s="84"/>
      <c r="BW37" s="84"/>
      <c r="BX37" s="84"/>
      <c r="BY37" s="84"/>
      <c r="BZ37" s="84"/>
      <c r="CA37" s="84"/>
      <c r="CB37" s="84"/>
      <c r="CC37" s="84"/>
    </row>
    <row r="38" ht="33.75" customHeight="1">
      <c r="A38" s="72"/>
      <c r="B38" s="73" t="s">
        <v>51</v>
      </c>
      <c r="C38" s="74"/>
      <c r="D38" s="75"/>
      <c r="E38" s="76">
        <v>24919.0</v>
      </c>
      <c r="F38" s="79"/>
      <c r="G38" s="75"/>
      <c r="H38" s="77">
        <v>4.25</v>
      </c>
      <c r="I38" s="75"/>
      <c r="J38" s="76">
        <v>37947.0</v>
      </c>
      <c r="K38" s="79"/>
      <c r="L38" s="79"/>
      <c r="M38" s="112">
        <v>2.91</v>
      </c>
      <c r="N38" s="81"/>
      <c r="O38" s="150">
        <f>sum(O33:O35)</f>
        <v>70465</v>
      </c>
      <c r="P38" s="140"/>
      <c r="Q38" s="81"/>
      <c r="R38" s="150">
        <f>sum(R33:R35)</f>
        <v>41736</v>
      </c>
      <c r="S38" s="151"/>
      <c r="T38" s="152"/>
      <c r="U38" s="152"/>
      <c r="V38" s="151"/>
      <c r="W38" s="152"/>
      <c r="X38" s="75"/>
      <c r="Y38" s="81"/>
      <c r="Z38" s="75"/>
      <c r="AA38" s="82"/>
      <c r="AB38" s="82"/>
      <c r="AC38" s="82"/>
      <c r="AD38" s="82"/>
      <c r="AE38" s="82"/>
      <c r="AF38" s="82"/>
      <c r="AG38" s="82"/>
      <c r="AH38" s="15"/>
      <c r="AI38" s="82"/>
      <c r="AJ38" s="82"/>
      <c r="AK38" s="82"/>
      <c r="AL38" s="82"/>
      <c r="AM38" s="124"/>
      <c r="AN38" s="82"/>
      <c r="AO38" s="82"/>
      <c r="AP38" s="82"/>
      <c r="AQ38" s="82"/>
      <c r="AR38" s="5"/>
      <c r="AS38" s="82"/>
      <c r="AT38" s="82"/>
      <c r="AU38" s="82"/>
      <c r="AV38" s="82"/>
      <c r="AW38" s="5"/>
      <c r="AX38" s="157">
        <f>sum(AX48,AX58,AX68,AX78,AX88,AX98)</f>
        <v>0</v>
      </c>
      <c r="AY38" s="153"/>
      <c r="AZ38" s="153"/>
      <c r="BA38" s="5"/>
      <c r="BB38" s="5"/>
      <c r="BC38" s="5"/>
      <c r="BD38" s="5"/>
      <c r="BE38" s="72"/>
      <c r="BF38" s="83"/>
      <c r="BG38" s="83"/>
      <c r="BH38" s="83"/>
      <c r="BI38" s="83"/>
      <c r="BJ38" s="83"/>
      <c r="BK38" s="84"/>
      <c r="BL38" s="84"/>
      <c r="BM38" s="84"/>
      <c r="BN38" s="84"/>
      <c r="BO38" s="84"/>
      <c r="BP38" s="84"/>
      <c r="BQ38" s="84"/>
      <c r="BR38" s="84"/>
      <c r="BS38" s="84"/>
      <c r="BT38" s="84"/>
      <c r="BU38" s="84"/>
      <c r="BV38" s="84"/>
      <c r="BW38" s="84"/>
      <c r="BX38" s="84"/>
      <c r="BY38" s="84"/>
      <c r="BZ38" s="84"/>
      <c r="CA38" s="84"/>
      <c r="CB38" s="84"/>
      <c r="CC38" s="84"/>
    </row>
    <row r="39" ht="15.75" customHeight="1">
      <c r="A39" s="98"/>
      <c r="B39" s="98"/>
      <c r="C39" s="98"/>
      <c r="D39" s="98"/>
      <c r="E39" s="98"/>
      <c r="F39" s="98"/>
      <c r="G39" s="98"/>
      <c r="H39" s="98"/>
      <c r="I39" s="99"/>
      <c r="J39" s="99"/>
      <c r="K39" s="99"/>
      <c r="L39" s="99"/>
      <c r="M39" s="99"/>
      <c r="N39" s="14"/>
      <c r="O39" s="14"/>
      <c r="P39" s="123"/>
      <c r="Q39" s="14"/>
      <c r="R39" s="12"/>
      <c r="S39" s="14"/>
      <c r="T39" s="15"/>
      <c r="U39" s="12"/>
      <c r="V39" s="14"/>
      <c r="W39" s="15"/>
      <c r="X39" s="15"/>
      <c r="Y39" s="15"/>
      <c r="Z39" s="15"/>
      <c r="AA39" s="15"/>
      <c r="AB39" s="15"/>
      <c r="AC39" s="15"/>
      <c r="AD39" s="15"/>
      <c r="AE39" s="15"/>
      <c r="AF39" s="15"/>
      <c r="AG39" s="15"/>
      <c r="AH39" s="15"/>
      <c r="AI39" s="15"/>
      <c r="AJ39" s="15"/>
      <c r="AK39" s="15"/>
      <c r="AL39" s="15"/>
      <c r="AM39" s="124"/>
      <c r="AN39" s="15"/>
      <c r="AO39" s="15"/>
      <c r="AP39" s="15"/>
      <c r="AQ39" s="15"/>
      <c r="AR39" s="5"/>
      <c r="AS39" s="15"/>
      <c r="AT39" s="15"/>
      <c r="AU39" s="15"/>
      <c r="AV39" s="15"/>
      <c r="AW39" s="5"/>
      <c r="AX39" s="5"/>
      <c r="AY39" s="5"/>
      <c r="AZ39" s="5"/>
      <c r="BA39" s="5"/>
      <c r="BB39" s="5"/>
      <c r="BC39" s="5"/>
      <c r="BD39" s="5"/>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row>
    <row r="40" ht="46.5" customHeight="1">
      <c r="A40" s="2"/>
      <c r="B40" s="33" t="s">
        <v>80</v>
      </c>
      <c r="C40" s="34"/>
      <c r="D40" s="34"/>
      <c r="E40" s="34"/>
      <c r="F40" s="34"/>
      <c r="G40" s="34"/>
      <c r="H40" s="34"/>
      <c r="I40" s="34"/>
      <c r="J40" s="34"/>
      <c r="K40" s="34"/>
      <c r="L40" s="34"/>
      <c r="M40" s="34"/>
      <c r="N40" s="34"/>
      <c r="O40" s="34"/>
      <c r="P40" s="34"/>
      <c r="Q40" s="34"/>
      <c r="R40" s="34"/>
      <c r="S40" s="34"/>
      <c r="T40" s="34"/>
      <c r="U40" s="114"/>
      <c r="V40" s="114"/>
      <c r="W40" s="114"/>
      <c r="X40" s="36"/>
      <c r="Y40" s="36"/>
      <c r="Z40" s="36"/>
      <c r="AA40" s="36"/>
      <c r="AB40" s="36"/>
      <c r="AC40" s="36"/>
      <c r="AD40" s="128"/>
      <c r="AE40" s="128"/>
      <c r="AF40" s="128"/>
      <c r="AG40" s="128"/>
      <c r="AH40" s="15"/>
      <c r="AI40" s="128"/>
      <c r="AJ40" s="128"/>
      <c r="AK40" s="128"/>
      <c r="AL40" s="128"/>
      <c r="AM40" s="124"/>
      <c r="AN40" s="128"/>
      <c r="AO40" s="128"/>
      <c r="AP40" s="128"/>
      <c r="AQ40" s="128"/>
      <c r="AR40" s="5"/>
      <c r="AS40" s="128"/>
      <c r="AT40" s="128"/>
      <c r="AU40" s="128"/>
      <c r="AV40" s="128"/>
      <c r="AW40" s="5"/>
      <c r="AX40" s="153"/>
      <c r="AY40" s="153"/>
      <c r="AZ40" s="153"/>
      <c r="BA40" s="5"/>
      <c r="BB40" s="5"/>
      <c r="BC40" s="5"/>
      <c r="BD40" s="5"/>
      <c r="BE40" s="31"/>
      <c r="BF40" s="32"/>
      <c r="BG40" s="32"/>
      <c r="BH40" s="32"/>
      <c r="BI40" s="32"/>
      <c r="BJ40" s="32"/>
      <c r="BK40" s="7"/>
      <c r="BL40" s="7"/>
      <c r="BM40" s="7"/>
      <c r="BN40" s="7"/>
      <c r="BO40" s="7"/>
      <c r="BP40" s="7"/>
      <c r="BQ40" s="7"/>
      <c r="BR40" s="7"/>
      <c r="BS40" s="7"/>
      <c r="BT40" s="7"/>
      <c r="BU40" s="7"/>
      <c r="BV40" s="7"/>
      <c r="BW40" s="7"/>
      <c r="BX40" s="7"/>
      <c r="BY40" s="7"/>
      <c r="BZ40" s="7"/>
      <c r="CA40" s="7"/>
      <c r="CB40" s="7"/>
      <c r="CC40" s="7"/>
    </row>
    <row r="41" ht="30.0" customHeight="1">
      <c r="A41" s="2"/>
      <c r="B41" s="38" t="s">
        <v>14</v>
      </c>
      <c r="C41" s="39" t="s">
        <v>15</v>
      </c>
      <c r="D41" s="40" t="s">
        <v>16</v>
      </c>
      <c r="E41" s="40" t="s">
        <v>17</v>
      </c>
      <c r="F41" s="141"/>
      <c r="G41" s="40" t="s">
        <v>19</v>
      </c>
      <c r="H41" s="40" t="s">
        <v>20</v>
      </c>
      <c r="I41" s="40" t="s">
        <v>21</v>
      </c>
      <c r="J41" s="40" t="s">
        <v>22</v>
      </c>
      <c r="K41" s="141"/>
      <c r="L41" s="40" t="s">
        <v>19</v>
      </c>
      <c r="M41" s="40" t="s">
        <v>24</v>
      </c>
      <c r="N41" s="40" t="s">
        <v>25</v>
      </c>
      <c r="O41" s="41" t="s">
        <v>27</v>
      </c>
      <c r="P41" s="129" t="s">
        <v>28</v>
      </c>
      <c r="Q41" s="40" t="s">
        <v>19</v>
      </c>
      <c r="R41" s="142" t="s">
        <v>30</v>
      </c>
      <c r="S41" s="143" t="s">
        <v>71</v>
      </c>
      <c r="T41" s="142" t="s">
        <v>19</v>
      </c>
      <c r="U41" s="41" t="s">
        <v>32</v>
      </c>
      <c r="V41" s="130" t="s">
        <v>72</v>
      </c>
      <c r="W41" s="142" t="s">
        <v>19</v>
      </c>
      <c r="X41" s="42" t="s">
        <v>34</v>
      </c>
      <c r="Y41" s="42" t="s">
        <v>35</v>
      </c>
      <c r="Z41" s="40" t="s">
        <v>19</v>
      </c>
      <c r="AA41" s="42" t="s">
        <v>36</v>
      </c>
      <c r="AB41" s="42" t="s">
        <v>37</v>
      </c>
      <c r="AC41" s="40" t="s">
        <v>19</v>
      </c>
      <c r="AD41" s="41" t="s">
        <v>60</v>
      </c>
      <c r="AE41" s="42" t="s">
        <v>38</v>
      </c>
      <c r="AF41" s="42" t="s">
        <v>39</v>
      </c>
      <c r="AG41" s="40" t="s">
        <v>19</v>
      </c>
      <c r="AH41" s="15"/>
      <c r="AI41" s="41" t="s">
        <v>61</v>
      </c>
      <c r="AJ41" s="42" t="s">
        <v>40</v>
      </c>
      <c r="AK41" s="42" t="s">
        <v>41</v>
      </c>
      <c r="AL41" s="40" t="s">
        <v>19</v>
      </c>
      <c r="AM41" s="144"/>
      <c r="AN41" s="41" t="s">
        <v>73</v>
      </c>
      <c r="AO41" s="42" t="s">
        <v>42</v>
      </c>
      <c r="AP41" s="42" t="s">
        <v>43</v>
      </c>
      <c r="AQ41" s="40" t="s">
        <v>19</v>
      </c>
      <c r="AR41" s="5"/>
      <c r="AS41" s="41" t="s">
        <v>74</v>
      </c>
      <c r="AT41" s="42" t="s">
        <v>44</v>
      </c>
      <c r="AU41" s="42" t="s">
        <v>75</v>
      </c>
      <c r="AV41" s="40" t="s">
        <v>19</v>
      </c>
      <c r="AW41" s="5"/>
      <c r="AX41" s="154" t="s">
        <v>46</v>
      </c>
      <c r="AY41" s="154" t="s">
        <v>76</v>
      </c>
      <c r="AZ41" s="155" t="s">
        <v>19</v>
      </c>
      <c r="BA41" s="5"/>
      <c r="BB41" s="5"/>
      <c r="BC41" s="5"/>
      <c r="BD41" s="5"/>
      <c r="BE41" s="9"/>
      <c r="BF41" s="46"/>
      <c r="BG41" s="46"/>
      <c r="BH41" s="46"/>
      <c r="BI41" s="46"/>
      <c r="BJ41" s="46"/>
      <c r="BK41" s="47"/>
      <c r="BL41" s="48"/>
      <c r="BM41" s="48"/>
      <c r="BR41" s="7"/>
      <c r="BS41" s="7"/>
      <c r="BT41" s="7"/>
      <c r="BU41" s="7"/>
      <c r="BV41" s="7"/>
      <c r="BW41" s="7"/>
      <c r="BX41" s="7"/>
      <c r="BY41" s="7"/>
      <c r="BZ41" s="7"/>
      <c r="CA41" s="7"/>
      <c r="CB41" s="7"/>
      <c r="CC41" s="7"/>
    </row>
    <row r="42" ht="30.0" customHeight="1">
      <c r="A42" s="2"/>
      <c r="C42" s="28"/>
      <c r="D42" s="49"/>
      <c r="E42" s="49"/>
      <c r="F42" s="141"/>
      <c r="G42" s="49"/>
      <c r="H42" s="49"/>
      <c r="I42" s="49"/>
      <c r="J42" s="49"/>
      <c r="K42" s="141"/>
      <c r="L42" s="49"/>
      <c r="M42" s="49"/>
      <c r="N42" s="49"/>
      <c r="O42" s="49"/>
      <c r="P42" s="49"/>
      <c r="Q42" s="49"/>
      <c r="R42" s="49"/>
      <c r="S42" s="49"/>
      <c r="T42" s="49"/>
      <c r="U42" s="49"/>
      <c r="V42" s="49"/>
      <c r="W42" s="49"/>
      <c r="X42" s="49"/>
      <c r="Y42" s="49"/>
      <c r="Z42" s="49"/>
      <c r="AA42" s="49"/>
      <c r="AB42" s="49"/>
      <c r="AC42" s="49"/>
      <c r="AD42" s="49"/>
      <c r="AE42" s="49"/>
      <c r="AF42" s="49"/>
      <c r="AG42" s="49"/>
      <c r="AH42" s="15"/>
      <c r="AI42" s="49"/>
      <c r="AJ42" s="49"/>
      <c r="AK42" s="49"/>
      <c r="AL42" s="49"/>
      <c r="AM42" s="144"/>
      <c r="AN42" s="49"/>
      <c r="AO42" s="49"/>
      <c r="AP42" s="49"/>
      <c r="AQ42" s="49"/>
      <c r="AR42" s="5"/>
      <c r="AS42" s="49"/>
      <c r="AT42" s="49"/>
      <c r="AU42" s="49"/>
      <c r="AV42" s="49"/>
      <c r="AW42" s="5"/>
      <c r="AX42" s="49"/>
      <c r="AY42" s="49"/>
      <c r="AZ42" s="49"/>
      <c r="BA42" s="5"/>
      <c r="BB42" s="5"/>
      <c r="BC42" s="5"/>
      <c r="BD42" s="5"/>
      <c r="BE42" s="50"/>
      <c r="BF42" s="51"/>
      <c r="BG42" s="51"/>
      <c r="BH42" s="51"/>
      <c r="BI42" s="51"/>
      <c r="BJ42" s="51"/>
      <c r="BK42" s="52">
        <v>18.0</v>
      </c>
      <c r="BL42" s="52">
        <v>25.0</v>
      </c>
      <c r="BM42" s="52">
        <v>2.0</v>
      </c>
      <c r="BN42" s="52">
        <v>9.0</v>
      </c>
      <c r="BO42" s="52">
        <v>16.0</v>
      </c>
      <c r="BP42" s="52">
        <v>23.0</v>
      </c>
      <c r="BQ42" s="52">
        <v>30.0</v>
      </c>
      <c r="BR42" s="7"/>
      <c r="BS42" s="7"/>
      <c r="BT42" s="7"/>
      <c r="BU42" s="7"/>
      <c r="BV42" s="7"/>
      <c r="BW42" s="7"/>
      <c r="BX42" s="7"/>
      <c r="BY42" s="7"/>
      <c r="BZ42" s="7"/>
      <c r="CA42" s="7"/>
      <c r="CB42" s="7"/>
      <c r="CC42" s="7"/>
    </row>
    <row r="43" ht="51.75" customHeight="1">
      <c r="A43" s="2"/>
      <c r="B43" s="53" t="s">
        <v>77</v>
      </c>
      <c r="C43" s="54" t="s">
        <v>15</v>
      </c>
      <c r="D43" s="55">
        <v>581400.0</v>
      </c>
      <c r="E43" s="55">
        <v>48104.0</v>
      </c>
      <c r="F43" s="56"/>
      <c r="G43" s="56">
        <f t="shared" ref="G43:G45" si="33">E43/D43</f>
        <v>0.08273821809</v>
      </c>
      <c r="H43" s="95">
        <v>2.05</v>
      </c>
      <c r="I43" s="55">
        <v>581400.0</v>
      </c>
      <c r="J43" s="55">
        <v>20012.0</v>
      </c>
      <c r="K43" s="56"/>
      <c r="L43" s="56">
        <f t="shared" ref="L43:L45" si="34">J43/I43</f>
        <v>0.03442036464</v>
      </c>
      <c r="M43" s="57">
        <v>1.86</v>
      </c>
      <c r="N43" s="55">
        <f t="shared" ref="N43:N45" si="35">I43</f>
        <v>581400</v>
      </c>
      <c r="O43" s="64">
        <v>80308.0</v>
      </c>
      <c r="P43" s="58">
        <v>2.57</v>
      </c>
      <c r="Q43" s="56">
        <f t="shared" ref="Q43:Q45" si="36">O43/N43</f>
        <v>0.138128655</v>
      </c>
      <c r="R43" s="96">
        <v>19269.0</v>
      </c>
      <c r="S43" s="59">
        <v>1.9</v>
      </c>
      <c r="T43" s="132">
        <f t="shared" ref="T43:T45" si="37">R43/N43</f>
        <v>0.03314241486</v>
      </c>
      <c r="U43" s="96">
        <v>19859.0</v>
      </c>
      <c r="V43" s="59">
        <v>1.86</v>
      </c>
      <c r="W43" s="132">
        <f t="shared" ref="W43:W45" si="38">U43/N43</f>
        <v>0.03415720674</v>
      </c>
      <c r="X43" s="64">
        <v>15021.0</v>
      </c>
      <c r="Y43" s="133">
        <v>2.63</v>
      </c>
      <c r="Z43" s="132">
        <f t="shared" ref="Z43:Z45" si="39">X43/N43</f>
        <v>0.02583591331</v>
      </c>
      <c r="AA43" s="64">
        <v>26919.0</v>
      </c>
      <c r="AB43" s="133">
        <v>2.07</v>
      </c>
      <c r="AC43" s="132">
        <f t="shared" ref="AC43:AC45" si="40">AA43/$N43</f>
        <v>0.0463003096</v>
      </c>
      <c r="AD43" s="64">
        <v>581400.0</v>
      </c>
      <c r="AE43" s="64">
        <v>29524.0</v>
      </c>
      <c r="AF43" s="133">
        <v>6.19</v>
      </c>
      <c r="AG43" s="132">
        <f>AE43/$N43</f>
        <v>0.05078087375</v>
      </c>
      <c r="AH43" s="15"/>
      <c r="AI43" s="64">
        <v>581400.0</v>
      </c>
      <c r="AJ43" s="64">
        <v>102655.0</v>
      </c>
      <c r="AK43" s="133">
        <v>2.76</v>
      </c>
      <c r="AL43" s="132">
        <f>AJ43/$N43</f>
        <v>0.1765651875</v>
      </c>
      <c r="AM43" s="124"/>
      <c r="AN43" s="64">
        <v>581400.0</v>
      </c>
      <c r="AO43" s="64">
        <v>43465.0</v>
      </c>
      <c r="AP43" s="133">
        <v>3.77</v>
      </c>
      <c r="AQ43" s="132">
        <f>AO43/$N43</f>
        <v>0.07475920193</v>
      </c>
      <c r="AR43" s="5"/>
      <c r="AS43" s="64">
        <v>581400.0</v>
      </c>
      <c r="AT43" s="64">
        <v>29411.0</v>
      </c>
      <c r="AU43" s="133">
        <v>4.78</v>
      </c>
      <c r="AV43" s="132">
        <f>AT43/$N43</f>
        <v>0.05058651531</v>
      </c>
      <c r="AW43" s="5"/>
      <c r="AX43" s="134">
        <v>17856.0</v>
      </c>
      <c r="AY43" s="135">
        <v>2.77</v>
      </c>
      <c r="AZ43" s="136">
        <f>AX43/$N43</f>
        <v>0.0307120743</v>
      </c>
      <c r="BA43" s="5"/>
      <c r="BB43" s="5"/>
      <c r="BC43" s="5"/>
      <c r="BD43" s="5"/>
      <c r="BE43" s="60"/>
      <c r="BF43" s="61"/>
      <c r="BG43" s="61"/>
      <c r="BH43" s="61"/>
      <c r="BI43" s="61"/>
      <c r="BJ43" s="61"/>
      <c r="BK43" s="62"/>
      <c r="BL43" s="62"/>
      <c r="BM43" s="62"/>
      <c r="BN43" s="62"/>
      <c r="BO43" s="62"/>
      <c r="BP43" s="62"/>
      <c r="BQ43" s="62"/>
      <c r="BR43" s="62"/>
      <c r="BS43" s="62"/>
      <c r="BT43" s="62"/>
      <c r="BU43" s="62"/>
      <c r="BV43" s="62"/>
      <c r="BW43" s="62"/>
      <c r="BX43" s="62"/>
      <c r="BY43" s="62"/>
      <c r="BZ43" s="62"/>
      <c r="CA43" s="62"/>
      <c r="CB43" s="62"/>
      <c r="CC43" s="62"/>
    </row>
    <row r="44" ht="51.75" customHeight="1">
      <c r="A44" s="2"/>
      <c r="B44" s="108"/>
      <c r="C44" s="54" t="s">
        <v>68</v>
      </c>
      <c r="D44" s="55">
        <v>4175000.0</v>
      </c>
      <c r="E44" s="55">
        <v>20406.0</v>
      </c>
      <c r="F44" s="56"/>
      <c r="G44" s="56">
        <f t="shared" si="33"/>
        <v>0.004887664671</v>
      </c>
      <c r="H44" s="95">
        <v>1.84</v>
      </c>
      <c r="I44" s="55">
        <v>4175000.0</v>
      </c>
      <c r="J44" s="55">
        <v>16379.0</v>
      </c>
      <c r="K44" s="56"/>
      <c r="L44" s="56">
        <f t="shared" si="34"/>
        <v>0.003923113772</v>
      </c>
      <c r="M44" s="57">
        <v>1.63</v>
      </c>
      <c r="N44" s="55">
        <f t="shared" si="35"/>
        <v>4175000</v>
      </c>
      <c r="O44" s="64">
        <v>15571.0</v>
      </c>
      <c r="P44" s="58">
        <v>1.71</v>
      </c>
      <c r="Q44" s="56">
        <f t="shared" si="36"/>
        <v>0.003729580838</v>
      </c>
      <c r="R44" s="96">
        <v>15812.0</v>
      </c>
      <c r="S44" s="59">
        <v>1.65</v>
      </c>
      <c r="T44" s="132">
        <f t="shared" si="37"/>
        <v>0.003787305389</v>
      </c>
      <c r="U44" s="96">
        <v>16067.0</v>
      </c>
      <c r="V44" s="59">
        <v>1.66</v>
      </c>
      <c r="W44" s="132">
        <f t="shared" si="38"/>
        <v>0.003848383234</v>
      </c>
      <c r="X44" s="64">
        <v>8436.0</v>
      </c>
      <c r="Y44" s="58">
        <v>2.32</v>
      </c>
      <c r="Z44" s="132">
        <f t="shared" si="39"/>
        <v>0.002020598802</v>
      </c>
      <c r="AA44" s="64">
        <v>14746.0</v>
      </c>
      <c r="AB44" s="58">
        <v>1.84</v>
      </c>
      <c r="AC44" s="132">
        <f t="shared" si="40"/>
        <v>0.003531976048</v>
      </c>
      <c r="AD44" s="64"/>
      <c r="AE44" s="64"/>
      <c r="AF44" s="58"/>
      <c r="AG44" s="132"/>
      <c r="AH44" s="15"/>
      <c r="AI44" s="64"/>
      <c r="AJ44" s="64"/>
      <c r="AK44" s="58"/>
      <c r="AL44" s="132"/>
      <c r="AM44" s="124"/>
      <c r="AN44" s="64"/>
      <c r="AO44" s="64"/>
      <c r="AP44" s="58"/>
      <c r="AQ44" s="132"/>
      <c r="AR44" s="5"/>
      <c r="AS44" s="64"/>
      <c r="AT44" s="64"/>
      <c r="AU44" s="58"/>
      <c r="AV44" s="132"/>
      <c r="AW44" s="5"/>
      <c r="AX44" s="134"/>
      <c r="AY44" s="135"/>
      <c r="AZ44" s="136"/>
      <c r="BA44" s="5"/>
      <c r="BB44" s="5"/>
      <c r="BC44" s="5"/>
      <c r="BD44" s="5"/>
      <c r="BE44" s="60"/>
      <c r="BF44" s="61"/>
      <c r="BG44" s="61"/>
      <c r="BH44" s="61"/>
      <c r="BI44" s="61"/>
      <c r="BJ44" s="61"/>
      <c r="BK44" s="62"/>
      <c r="BL44" s="62"/>
      <c r="BM44" s="62"/>
      <c r="BN44" s="62"/>
      <c r="BO44" s="62"/>
      <c r="BP44" s="62"/>
      <c r="BQ44" s="62"/>
      <c r="BR44" s="62"/>
      <c r="BS44" s="62"/>
      <c r="BT44" s="62"/>
      <c r="BU44" s="62"/>
      <c r="BV44" s="62"/>
      <c r="BW44" s="62"/>
      <c r="BX44" s="62"/>
      <c r="BY44" s="62"/>
      <c r="BZ44" s="62"/>
      <c r="CA44" s="62"/>
      <c r="CB44" s="62"/>
      <c r="CC44" s="62"/>
    </row>
    <row r="45" ht="51.75" customHeight="1">
      <c r="A45" s="2"/>
      <c r="B45" s="63"/>
      <c r="C45" s="54" t="s">
        <v>49</v>
      </c>
      <c r="D45" s="55">
        <v>456000.0</v>
      </c>
      <c r="E45" s="106">
        <v>47572.0</v>
      </c>
      <c r="F45" s="56"/>
      <c r="G45" s="56">
        <f t="shared" si="33"/>
        <v>0.1043245614</v>
      </c>
      <c r="H45" s="145">
        <v>3.7</v>
      </c>
      <c r="I45" s="55">
        <v>456000.0</v>
      </c>
      <c r="J45" s="55">
        <v>60968.0</v>
      </c>
      <c r="K45" s="56"/>
      <c r="L45" s="56">
        <f t="shared" si="34"/>
        <v>0.1337017544</v>
      </c>
      <c r="M45" s="57">
        <v>2.78</v>
      </c>
      <c r="N45" s="55">
        <f t="shared" si="35"/>
        <v>456000</v>
      </c>
      <c r="O45" s="64">
        <v>62661.0</v>
      </c>
      <c r="P45" s="58">
        <v>2.7</v>
      </c>
      <c r="Q45" s="56">
        <f t="shared" si="36"/>
        <v>0.1374144737</v>
      </c>
      <c r="R45" s="96">
        <v>60650.0</v>
      </c>
      <c r="S45" s="59">
        <v>2.77</v>
      </c>
      <c r="T45" s="132">
        <f t="shared" si="37"/>
        <v>0.133004386</v>
      </c>
      <c r="U45" s="96">
        <v>64583.0</v>
      </c>
      <c r="V45" s="59">
        <v>2.62</v>
      </c>
      <c r="W45" s="132">
        <f t="shared" si="38"/>
        <v>0.141629386</v>
      </c>
      <c r="X45" s="64">
        <v>72133.0</v>
      </c>
      <c r="Y45" s="58">
        <v>2.75</v>
      </c>
      <c r="Z45" s="132">
        <f t="shared" si="39"/>
        <v>0.1581864035</v>
      </c>
      <c r="AA45" s="64">
        <v>53737.0</v>
      </c>
      <c r="AB45" s="58">
        <v>2.52</v>
      </c>
      <c r="AC45" s="132">
        <f t="shared" si="40"/>
        <v>0.1178442982</v>
      </c>
      <c r="AD45" s="64">
        <v>456000.0</v>
      </c>
      <c r="AE45" s="64">
        <v>2211.0</v>
      </c>
      <c r="AF45" s="58">
        <v>2.85</v>
      </c>
      <c r="AG45" s="132">
        <f>AE45/$N45</f>
        <v>0.004848684211</v>
      </c>
      <c r="AH45" s="15"/>
      <c r="AI45" s="64"/>
      <c r="AJ45" s="64"/>
      <c r="AK45" s="58"/>
      <c r="AL45" s="132"/>
      <c r="AM45" s="124"/>
      <c r="AN45" s="64">
        <v>456000.0</v>
      </c>
      <c r="AO45" s="64">
        <v>17571.0</v>
      </c>
      <c r="AP45" s="58">
        <v>3.14</v>
      </c>
      <c r="AQ45" s="132">
        <f>AO45/$N45</f>
        <v>0.03853289474</v>
      </c>
      <c r="AR45" s="5"/>
      <c r="AS45" s="64"/>
      <c r="AT45" s="64"/>
      <c r="AU45" s="58"/>
      <c r="AV45" s="132"/>
      <c r="AW45" s="5"/>
      <c r="AX45" s="134">
        <v>28084.0</v>
      </c>
      <c r="AY45" s="135">
        <v>2.04</v>
      </c>
      <c r="AZ45" s="136">
        <f>AX45/$N45</f>
        <v>0.0615877193</v>
      </c>
      <c r="BA45" s="5"/>
      <c r="BB45" s="5"/>
      <c r="BC45" s="5"/>
      <c r="BD45" s="5"/>
      <c r="BE45" s="60"/>
      <c r="BF45" s="61"/>
      <c r="BG45" s="61"/>
      <c r="BH45" s="61"/>
      <c r="BI45" s="61"/>
      <c r="BJ45" s="61"/>
      <c r="BK45" s="7"/>
      <c r="BL45" s="7"/>
      <c r="BM45" s="7"/>
      <c r="BN45" s="7"/>
      <c r="BO45" s="7"/>
      <c r="BP45" s="7"/>
      <c r="BQ45" s="7"/>
      <c r="BR45" s="7"/>
      <c r="BS45" s="7"/>
      <c r="BT45" s="7"/>
      <c r="BU45" s="7"/>
      <c r="BV45" s="7"/>
      <c r="BW45" s="7"/>
      <c r="BX45" s="7"/>
      <c r="BY45" s="7"/>
      <c r="BZ45" s="7"/>
      <c r="CA45" s="7"/>
      <c r="CB45" s="7"/>
      <c r="CC45" s="7"/>
    </row>
    <row r="46" ht="26.25" customHeight="1">
      <c r="A46" s="2"/>
      <c r="B46" s="65"/>
      <c r="C46" s="48"/>
      <c r="D46" s="48"/>
      <c r="E46" s="66"/>
      <c r="F46" s="67"/>
      <c r="G46" s="67"/>
      <c r="H46" s="67"/>
      <c r="I46" s="68"/>
      <c r="J46" s="68"/>
      <c r="K46" s="68"/>
      <c r="L46" s="68"/>
      <c r="M46" s="68"/>
      <c r="N46" s="68"/>
      <c r="O46" s="68"/>
      <c r="P46" s="137"/>
      <c r="Q46" s="68"/>
      <c r="R46" s="146"/>
      <c r="S46" s="146"/>
      <c r="T46" s="146"/>
      <c r="U46" s="146"/>
      <c r="V46" s="146"/>
      <c r="W46" s="146"/>
      <c r="X46" s="68"/>
      <c r="Y46" s="68"/>
      <c r="Z46" s="68"/>
      <c r="AA46" s="70"/>
      <c r="AB46" s="70"/>
      <c r="AC46" s="70"/>
      <c r="AD46" s="70"/>
      <c r="AE46" s="70"/>
      <c r="AF46" s="70"/>
      <c r="AG46" s="70"/>
      <c r="AH46" s="15"/>
      <c r="AI46" s="70"/>
      <c r="AJ46" s="70"/>
      <c r="AK46" s="70"/>
      <c r="AL46" s="70"/>
      <c r="AM46" s="124"/>
      <c r="AN46" s="70"/>
      <c r="AO46" s="70"/>
      <c r="AP46" s="70"/>
      <c r="AQ46" s="70"/>
      <c r="AR46" s="5"/>
      <c r="AS46" s="70"/>
      <c r="AT46" s="70"/>
      <c r="AU46" s="70"/>
      <c r="AV46" s="70"/>
      <c r="AW46" s="5"/>
      <c r="AX46" s="156"/>
      <c r="AY46" s="156"/>
      <c r="AZ46" s="156"/>
      <c r="BA46" s="5"/>
      <c r="BB46" s="5"/>
      <c r="BC46" s="5"/>
      <c r="BD46" s="5"/>
      <c r="BE46" s="2"/>
      <c r="BF46" s="6"/>
      <c r="BG46" s="6"/>
      <c r="BH46" s="6"/>
      <c r="BI46" s="6"/>
      <c r="BJ46" s="6"/>
      <c r="BK46" s="7"/>
      <c r="BL46" s="7"/>
      <c r="BM46" s="7"/>
      <c r="BN46" s="7"/>
      <c r="BO46" s="7"/>
      <c r="BP46" s="7"/>
      <c r="BQ46" s="7"/>
      <c r="BR46" s="7"/>
      <c r="BS46" s="7"/>
      <c r="BT46" s="7"/>
      <c r="BU46" s="7"/>
      <c r="BV46" s="7"/>
      <c r="BW46" s="7"/>
      <c r="BX46" s="7"/>
      <c r="BY46" s="7"/>
      <c r="BZ46" s="7"/>
      <c r="CA46" s="7"/>
      <c r="CB46" s="7"/>
      <c r="CC46" s="7"/>
    </row>
    <row r="47" ht="33.75" customHeight="1">
      <c r="A47" s="72"/>
      <c r="B47" s="112" t="s">
        <v>64</v>
      </c>
      <c r="C47" s="74"/>
      <c r="D47" s="75"/>
      <c r="E47" s="113">
        <f>((sum(E43:E45)-E48)/E48)</f>
        <v>0.2131808871</v>
      </c>
      <c r="F47" s="75"/>
      <c r="G47" s="75"/>
      <c r="H47" s="75"/>
      <c r="I47" s="114"/>
      <c r="J47" s="113">
        <f>((sum(J43:J45)-J48)/J48)</f>
        <v>0.2022598172</v>
      </c>
      <c r="K47" s="114"/>
      <c r="L47" s="114"/>
      <c r="M47" s="138"/>
      <c r="N47" s="114"/>
      <c r="O47" s="114"/>
      <c r="P47" s="139"/>
      <c r="Q47" s="114"/>
      <c r="R47" s="147"/>
      <c r="S47" s="148"/>
      <c r="T47" s="147"/>
      <c r="U47" s="147"/>
      <c r="V47" s="148"/>
      <c r="W47" s="147"/>
      <c r="X47" s="114"/>
      <c r="Y47" s="114"/>
      <c r="Z47" s="114"/>
      <c r="AA47" s="82"/>
      <c r="AB47" s="82"/>
      <c r="AC47" s="82"/>
      <c r="AD47" s="82"/>
      <c r="AE47" s="82"/>
      <c r="AF47" s="82"/>
      <c r="AG47" s="82"/>
      <c r="AH47" s="15"/>
      <c r="AI47" s="82"/>
      <c r="AJ47" s="82"/>
      <c r="AK47" s="82"/>
      <c r="AL47" s="82"/>
      <c r="AM47" s="124"/>
      <c r="AN47" s="82"/>
      <c r="AO47" s="82"/>
      <c r="AP47" s="82"/>
      <c r="AQ47" s="82"/>
      <c r="AR47" s="5"/>
      <c r="AS47" s="82"/>
      <c r="AT47" s="82"/>
      <c r="AU47" s="82"/>
      <c r="AV47" s="82"/>
      <c r="AW47" s="5"/>
      <c r="AX47" s="153"/>
      <c r="AY47" s="153"/>
      <c r="AZ47" s="153"/>
      <c r="BA47" s="5"/>
      <c r="BB47" s="5"/>
      <c r="BC47" s="5"/>
      <c r="BD47" s="5"/>
      <c r="BE47" s="72"/>
      <c r="BF47" s="83"/>
      <c r="BG47" s="83"/>
      <c r="BH47" s="83"/>
      <c r="BI47" s="83"/>
      <c r="BJ47" s="83"/>
      <c r="BK47" s="84"/>
      <c r="BL47" s="84"/>
      <c r="BM47" s="84"/>
      <c r="BN47" s="84"/>
      <c r="BO47" s="84"/>
      <c r="BP47" s="84"/>
      <c r="BQ47" s="84"/>
      <c r="BR47" s="84"/>
      <c r="BS47" s="84"/>
      <c r="BT47" s="84"/>
      <c r="BU47" s="84"/>
      <c r="BV47" s="84"/>
      <c r="BW47" s="84"/>
      <c r="BX47" s="84"/>
      <c r="BY47" s="84"/>
      <c r="BZ47" s="84"/>
      <c r="CA47" s="84"/>
      <c r="CB47" s="84"/>
      <c r="CC47" s="84"/>
    </row>
    <row r="48" ht="33.75" customHeight="1">
      <c r="A48" s="72"/>
      <c r="B48" s="73" t="s">
        <v>51</v>
      </c>
      <c r="C48" s="74"/>
      <c r="D48" s="75"/>
      <c r="E48" s="76">
        <v>95684.0</v>
      </c>
      <c r="F48" s="79"/>
      <c r="G48" s="75"/>
      <c r="H48" s="79">
        <v>2.87</v>
      </c>
      <c r="I48" s="75"/>
      <c r="J48" s="76">
        <v>80980.0</v>
      </c>
      <c r="K48" s="79"/>
      <c r="L48" s="79"/>
      <c r="M48" s="112">
        <v>2.55</v>
      </c>
      <c r="N48" s="81"/>
      <c r="O48" s="150">
        <f>sum(O43:O45)</f>
        <v>158540</v>
      </c>
      <c r="P48" s="140"/>
      <c r="Q48" s="81"/>
      <c r="R48" s="150">
        <f>sum(R43:R45)</f>
        <v>95731</v>
      </c>
      <c r="S48" s="151"/>
      <c r="T48" s="152"/>
      <c r="U48" s="150">
        <f>sum(U43:U45)</f>
        <v>100509</v>
      </c>
      <c r="V48" s="140"/>
      <c r="W48" s="81"/>
      <c r="X48" s="150">
        <f>sum(X43:X45)</f>
        <v>95590</v>
      </c>
      <c r="Y48" s="81"/>
      <c r="Z48" s="75"/>
      <c r="AA48" s="150">
        <f>sum(AA43:AA45)</f>
        <v>95402</v>
      </c>
      <c r="AB48" s="140"/>
      <c r="AC48" s="81"/>
      <c r="AD48" s="81"/>
      <c r="AE48" s="150">
        <f>sum(AE43:AE45)</f>
        <v>31735</v>
      </c>
      <c r="AF48" s="82"/>
      <c r="AG48" s="82"/>
      <c r="AH48" s="15"/>
      <c r="AI48" s="82"/>
      <c r="AJ48" s="150">
        <f>sum(AJ43:AJ45)</f>
        <v>102655</v>
      </c>
      <c r="AK48" s="82"/>
      <c r="AL48" s="82"/>
      <c r="AM48" s="124"/>
      <c r="AN48" s="82"/>
      <c r="AO48" s="150">
        <f>sum(AO43:AO45)</f>
        <v>61036</v>
      </c>
      <c r="AP48" s="82"/>
      <c r="AQ48" s="82"/>
      <c r="AR48" s="5"/>
      <c r="AS48" s="82"/>
      <c r="AT48" s="150">
        <f>sum(AT43:AT45)</f>
        <v>29411</v>
      </c>
      <c r="AU48" s="82"/>
      <c r="AV48" s="82"/>
      <c r="AW48" s="5"/>
      <c r="AX48" s="157">
        <f>sum(AX58,AX68,AX78,AX88,AX98,AX108)</f>
        <v>0</v>
      </c>
      <c r="AY48" s="153"/>
      <c r="AZ48" s="153"/>
      <c r="BA48" s="5"/>
      <c r="BB48" s="5"/>
      <c r="BC48" s="5"/>
      <c r="BD48" s="5"/>
      <c r="BE48" s="72"/>
      <c r="BF48" s="83"/>
      <c r="BG48" s="83"/>
      <c r="BH48" s="83"/>
      <c r="BI48" s="83"/>
      <c r="BJ48" s="83"/>
      <c r="BK48" s="84"/>
      <c r="BL48" s="84"/>
      <c r="BM48" s="84"/>
      <c r="BN48" s="84"/>
      <c r="BO48" s="84"/>
      <c r="BP48" s="84"/>
      <c r="BQ48" s="84"/>
      <c r="BR48" s="84"/>
      <c r="BS48" s="84"/>
      <c r="BT48" s="84"/>
      <c r="BU48" s="84"/>
      <c r="BV48" s="84"/>
      <c r="BW48" s="84"/>
      <c r="BX48" s="84"/>
      <c r="BY48" s="84"/>
      <c r="BZ48" s="84"/>
      <c r="CA48" s="84"/>
      <c r="CB48" s="84"/>
      <c r="CC48" s="84"/>
    </row>
    <row r="49" ht="15.75" customHeight="1">
      <c r="A49" s="98"/>
      <c r="B49" s="98"/>
      <c r="C49" s="98"/>
      <c r="D49" s="98"/>
      <c r="E49" s="98"/>
      <c r="F49" s="98"/>
      <c r="G49" s="98"/>
      <c r="H49" s="98"/>
      <c r="I49" s="99"/>
      <c r="J49" s="99"/>
      <c r="K49" s="99"/>
      <c r="L49" s="99"/>
      <c r="M49" s="99"/>
      <c r="N49" s="14"/>
      <c r="O49" s="14"/>
      <c r="P49" s="123"/>
      <c r="Q49" s="14"/>
      <c r="R49" s="12"/>
      <c r="S49" s="14"/>
      <c r="T49" s="15"/>
      <c r="U49" s="12"/>
      <c r="V49" s="14"/>
      <c r="W49" s="15"/>
      <c r="X49" s="15"/>
      <c r="Y49" s="15"/>
      <c r="Z49" s="15"/>
      <c r="AA49" s="15"/>
      <c r="AB49" s="15"/>
      <c r="AC49" s="15"/>
      <c r="AD49" s="15"/>
      <c r="AE49" s="15"/>
      <c r="AF49" s="15"/>
      <c r="AG49" s="15"/>
      <c r="AH49" s="15"/>
      <c r="AI49" s="15"/>
      <c r="AJ49" s="15"/>
      <c r="AK49" s="15"/>
      <c r="AL49" s="15"/>
      <c r="AM49" s="124"/>
      <c r="AN49" s="15"/>
      <c r="AO49" s="15"/>
      <c r="AP49" s="15"/>
      <c r="AQ49" s="15"/>
      <c r="AR49" s="5"/>
      <c r="AS49" s="15"/>
      <c r="AT49" s="15"/>
      <c r="AU49" s="15"/>
      <c r="AV49" s="15"/>
      <c r="AW49" s="5"/>
      <c r="AX49" s="5"/>
      <c r="AY49" s="5"/>
      <c r="AZ49" s="5"/>
      <c r="BA49" s="5"/>
      <c r="BB49" s="5"/>
      <c r="BC49" s="5"/>
      <c r="BD49" s="5"/>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row>
    <row r="50" ht="46.5" customHeight="1">
      <c r="A50" s="2"/>
      <c r="B50" s="33" t="s">
        <v>81</v>
      </c>
      <c r="C50" s="34"/>
      <c r="D50" s="34"/>
      <c r="E50" s="34"/>
      <c r="F50" s="34"/>
      <c r="G50" s="34"/>
      <c r="H50" s="34"/>
      <c r="I50" s="34"/>
      <c r="J50" s="34"/>
      <c r="K50" s="34"/>
      <c r="L50" s="34"/>
      <c r="M50" s="34"/>
      <c r="N50" s="34"/>
      <c r="O50" s="34"/>
      <c r="P50" s="34"/>
      <c r="Q50" s="34"/>
      <c r="R50" s="34"/>
      <c r="S50" s="34"/>
      <c r="T50" s="34"/>
      <c r="U50" s="114"/>
      <c r="V50" s="114"/>
      <c r="W50" s="114"/>
      <c r="X50" s="36"/>
      <c r="Y50" s="36"/>
      <c r="Z50" s="36"/>
      <c r="AA50" s="36"/>
      <c r="AB50" s="36"/>
      <c r="AC50" s="36"/>
      <c r="AD50" s="128"/>
      <c r="AE50" s="128"/>
      <c r="AF50" s="128"/>
      <c r="AG50" s="128"/>
      <c r="AH50" s="15"/>
      <c r="AI50" s="128"/>
      <c r="AJ50" s="128"/>
      <c r="AK50" s="128"/>
      <c r="AL50" s="128"/>
      <c r="AM50" s="124"/>
      <c r="AN50" s="128"/>
      <c r="AO50" s="128"/>
      <c r="AP50" s="128"/>
      <c r="AQ50" s="128"/>
      <c r="AR50" s="5"/>
      <c r="AS50" s="128"/>
      <c r="AT50" s="128"/>
      <c r="AU50" s="128"/>
      <c r="AV50" s="128"/>
      <c r="AW50" s="5"/>
      <c r="AX50" s="153"/>
      <c r="AY50" s="153"/>
      <c r="AZ50" s="153"/>
      <c r="BA50" s="5"/>
      <c r="BB50" s="5"/>
      <c r="BC50" s="5"/>
      <c r="BD50" s="5"/>
      <c r="BE50" s="31"/>
      <c r="BF50" s="32"/>
      <c r="BG50" s="32"/>
      <c r="BH50" s="32"/>
      <c r="BI50" s="32"/>
      <c r="BJ50" s="32"/>
      <c r="BK50" s="7"/>
      <c r="BL50" s="7"/>
      <c r="BM50" s="7"/>
      <c r="BN50" s="7"/>
      <c r="BO50" s="7"/>
      <c r="BP50" s="7"/>
      <c r="BQ50" s="7"/>
      <c r="BR50" s="7"/>
      <c r="BS50" s="7"/>
      <c r="BT50" s="7"/>
      <c r="BU50" s="7"/>
      <c r="BV50" s="7"/>
      <c r="BW50" s="7"/>
      <c r="BX50" s="7"/>
      <c r="BY50" s="7"/>
      <c r="BZ50" s="7"/>
      <c r="CA50" s="7"/>
      <c r="CB50" s="7"/>
      <c r="CC50" s="7"/>
    </row>
    <row r="51" ht="30.0" customHeight="1">
      <c r="A51" s="2"/>
      <c r="B51" s="38" t="s">
        <v>14</v>
      </c>
      <c r="C51" s="39" t="s">
        <v>15</v>
      </c>
      <c r="D51" s="40" t="s">
        <v>16</v>
      </c>
      <c r="E51" s="40" t="s">
        <v>17</v>
      </c>
      <c r="F51" s="141"/>
      <c r="G51" s="40" t="s">
        <v>19</v>
      </c>
      <c r="H51" s="40" t="s">
        <v>20</v>
      </c>
      <c r="I51" s="40" t="s">
        <v>21</v>
      </c>
      <c r="J51" s="40" t="s">
        <v>22</v>
      </c>
      <c r="K51" s="141"/>
      <c r="L51" s="40" t="s">
        <v>19</v>
      </c>
      <c r="M51" s="40" t="s">
        <v>24</v>
      </c>
      <c r="N51" s="40" t="s">
        <v>25</v>
      </c>
      <c r="O51" s="41" t="s">
        <v>27</v>
      </c>
      <c r="P51" s="129" t="s">
        <v>28</v>
      </c>
      <c r="Q51" s="40" t="s">
        <v>19</v>
      </c>
      <c r="R51" s="142" t="s">
        <v>30</v>
      </c>
      <c r="S51" s="143" t="s">
        <v>71</v>
      </c>
      <c r="T51" s="142" t="s">
        <v>19</v>
      </c>
      <c r="U51" s="41" t="s">
        <v>32</v>
      </c>
      <c r="V51" s="130" t="s">
        <v>72</v>
      </c>
      <c r="W51" s="142" t="s">
        <v>19</v>
      </c>
      <c r="X51" s="42" t="s">
        <v>34</v>
      </c>
      <c r="Y51" s="42" t="s">
        <v>35</v>
      </c>
      <c r="Z51" s="40" t="s">
        <v>19</v>
      </c>
      <c r="AA51" s="42" t="s">
        <v>36</v>
      </c>
      <c r="AB51" s="42" t="s">
        <v>37</v>
      </c>
      <c r="AC51" s="40" t="s">
        <v>19</v>
      </c>
      <c r="AD51" s="41" t="s">
        <v>60</v>
      </c>
      <c r="AE51" s="42" t="s">
        <v>38</v>
      </c>
      <c r="AF51" s="42" t="s">
        <v>39</v>
      </c>
      <c r="AG51" s="40" t="s">
        <v>19</v>
      </c>
      <c r="AH51" s="15"/>
      <c r="AI51" s="41" t="s">
        <v>61</v>
      </c>
      <c r="AJ51" s="42" t="s">
        <v>40</v>
      </c>
      <c r="AK51" s="42" t="s">
        <v>41</v>
      </c>
      <c r="AL51" s="40" t="s">
        <v>19</v>
      </c>
      <c r="AM51" s="124"/>
      <c r="AN51" s="41" t="s">
        <v>73</v>
      </c>
      <c r="AO51" s="42" t="s">
        <v>40</v>
      </c>
      <c r="AP51" s="42" t="s">
        <v>41</v>
      </c>
      <c r="AQ51" s="40" t="s">
        <v>19</v>
      </c>
      <c r="AR51" s="5"/>
      <c r="AS51" s="41" t="s">
        <v>74</v>
      </c>
      <c r="AT51" s="42" t="s">
        <v>44</v>
      </c>
      <c r="AU51" s="42" t="s">
        <v>75</v>
      </c>
      <c r="AV51" s="40" t="s">
        <v>19</v>
      </c>
      <c r="AW51" s="5"/>
      <c r="AX51" s="154" t="s">
        <v>46</v>
      </c>
      <c r="AY51" s="154" t="s">
        <v>76</v>
      </c>
      <c r="AZ51" s="155" t="s">
        <v>19</v>
      </c>
      <c r="BA51" s="5"/>
      <c r="BB51" s="5"/>
      <c r="BC51" s="5"/>
      <c r="BD51" s="5"/>
      <c r="BE51" s="9"/>
      <c r="BF51" s="46"/>
      <c r="BG51" s="46"/>
      <c r="BH51" s="46"/>
      <c r="BI51" s="46"/>
      <c r="BJ51" s="46"/>
      <c r="BK51" s="47"/>
      <c r="BL51" s="48"/>
      <c r="BM51" s="48"/>
      <c r="BR51" s="7"/>
      <c r="BS51" s="7"/>
      <c r="BT51" s="7"/>
      <c r="BU51" s="7"/>
      <c r="BV51" s="7"/>
      <c r="BW51" s="7"/>
      <c r="BX51" s="7"/>
      <c r="BY51" s="7"/>
      <c r="BZ51" s="7"/>
      <c r="CA51" s="7"/>
      <c r="CB51" s="7"/>
      <c r="CC51" s="7"/>
    </row>
    <row r="52" ht="30.0" customHeight="1">
      <c r="A52" s="2"/>
      <c r="C52" s="28"/>
      <c r="D52" s="49"/>
      <c r="E52" s="49"/>
      <c r="F52" s="141"/>
      <c r="G52" s="49"/>
      <c r="H52" s="49"/>
      <c r="I52" s="49"/>
      <c r="J52" s="49"/>
      <c r="K52" s="141"/>
      <c r="L52" s="49"/>
      <c r="M52" s="49"/>
      <c r="N52" s="49"/>
      <c r="O52" s="49"/>
      <c r="P52" s="49"/>
      <c r="Q52" s="49"/>
      <c r="R52" s="49"/>
      <c r="S52" s="49"/>
      <c r="T52" s="49"/>
      <c r="U52" s="49"/>
      <c r="V52" s="49"/>
      <c r="W52" s="49"/>
      <c r="X52" s="49"/>
      <c r="Y52" s="49"/>
      <c r="Z52" s="49"/>
      <c r="AA52" s="49"/>
      <c r="AB52" s="49"/>
      <c r="AC52" s="49"/>
      <c r="AD52" s="49"/>
      <c r="AE52" s="49"/>
      <c r="AF52" s="49"/>
      <c r="AG52" s="49"/>
      <c r="AH52" s="15"/>
      <c r="AI52" s="49"/>
      <c r="AJ52" s="49"/>
      <c r="AK52" s="49"/>
      <c r="AL52" s="49"/>
      <c r="AM52" s="124"/>
      <c r="AN52" s="49"/>
      <c r="AO52" s="49"/>
      <c r="AP52" s="49"/>
      <c r="AQ52" s="49"/>
      <c r="AR52" s="5"/>
      <c r="AS52" s="49"/>
      <c r="AT52" s="49"/>
      <c r="AU52" s="49"/>
      <c r="AV52" s="49"/>
      <c r="AW52" s="5"/>
      <c r="AX52" s="49"/>
      <c r="AY52" s="49"/>
      <c r="AZ52" s="49"/>
      <c r="BA52" s="5"/>
      <c r="BB52" s="5"/>
      <c r="BC52" s="5"/>
      <c r="BD52" s="5"/>
      <c r="BE52" s="50"/>
      <c r="BF52" s="51"/>
      <c r="BG52" s="51"/>
      <c r="BH52" s="51"/>
      <c r="BI52" s="51"/>
      <c r="BJ52" s="51"/>
      <c r="BK52" s="52">
        <v>18.0</v>
      </c>
      <c r="BL52" s="52">
        <v>25.0</v>
      </c>
      <c r="BM52" s="52">
        <v>2.0</v>
      </c>
      <c r="BN52" s="52">
        <v>9.0</v>
      </c>
      <c r="BO52" s="52">
        <v>16.0</v>
      </c>
      <c r="BP52" s="52">
        <v>23.0</v>
      </c>
      <c r="BQ52" s="52">
        <v>30.0</v>
      </c>
      <c r="BR52" s="7"/>
      <c r="BS52" s="7"/>
      <c r="BT52" s="7"/>
      <c r="BU52" s="7"/>
      <c r="BV52" s="7"/>
      <c r="BW52" s="7"/>
      <c r="BX52" s="7"/>
      <c r="BY52" s="7"/>
      <c r="BZ52" s="7"/>
      <c r="CA52" s="7"/>
      <c r="CB52" s="7"/>
      <c r="CC52" s="7"/>
    </row>
    <row r="53" ht="51.75" customHeight="1">
      <c r="A53" s="2"/>
      <c r="B53" s="53" t="s">
        <v>77</v>
      </c>
      <c r="C53" s="54" t="s">
        <v>15</v>
      </c>
      <c r="D53" s="55">
        <v>64600.0</v>
      </c>
      <c r="E53" s="55">
        <v>3825.0</v>
      </c>
      <c r="F53" s="56"/>
      <c r="G53" s="56">
        <f t="shared" ref="G53:G55" si="41">E53/D53</f>
        <v>0.05921052632</v>
      </c>
      <c r="H53" s="95">
        <v>2.64</v>
      </c>
      <c r="I53" s="55">
        <v>64600.0</v>
      </c>
      <c r="J53" s="55">
        <v>9603.0</v>
      </c>
      <c r="K53" s="56"/>
      <c r="L53" s="56">
        <f t="shared" ref="L53:L55" si="42">J53/I53</f>
        <v>0.1486532508</v>
      </c>
      <c r="M53" s="57">
        <v>2.47</v>
      </c>
      <c r="N53" s="55">
        <f t="shared" ref="N53:N55" si="43">I53</f>
        <v>64600</v>
      </c>
      <c r="O53" s="64">
        <v>29819.0</v>
      </c>
      <c r="P53" s="58">
        <v>2.65</v>
      </c>
      <c r="Q53" s="56">
        <f t="shared" ref="Q53:Q55" si="44">O53/N53</f>
        <v>0.4615944272</v>
      </c>
      <c r="R53" s="96">
        <v>8709.0</v>
      </c>
      <c r="S53" s="59">
        <v>2.66</v>
      </c>
      <c r="T53" s="132">
        <f t="shared" ref="T53:T55" si="45">R53/N53</f>
        <v>0.1348142415</v>
      </c>
      <c r="U53" s="96">
        <v>12613.0</v>
      </c>
      <c r="V53" s="59">
        <v>2.57</v>
      </c>
      <c r="W53" s="132">
        <f t="shared" ref="W53:W55" si="46">U53/N53</f>
        <v>0.195247678</v>
      </c>
      <c r="X53" s="64">
        <v>14964.0</v>
      </c>
      <c r="Y53" s="133">
        <v>2.19</v>
      </c>
      <c r="Z53" s="132">
        <f t="shared" ref="Z53:Z55" si="47">X53/N53</f>
        <v>0.2316408669</v>
      </c>
      <c r="AA53" s="64">
        <v>12102.0</v>
      </c>
      <c r="AB53" s="133">
        <v>2.51</v>
      </c>
      <c r="AC53" s="132">
        <f t="shared" ref="AC53:AC55" si="48">AA53/$N53</f>
        <v>0.1873374613</v>
      </c>
      <c r="AD53" s="64">
        <v>64600.0</v>
      </c>
      <c r="AE53" s="64">
        <v>12358.0</v>
      </c>
      <c r="AF53" s="133">
        <v>4.1</v>
      </c>
      <c r="AG53" s="132">
        <f t="shared" ref="AG53:AG55" si="49">AE53/$N53</f>
        <v>0.1913003096</v>
      </c>
      <c r="AH53" s="15"/>
      <c r="AI53" s="64">
        <v>64600.0</v>
      </c>
      <c r="AJ53" s="64">
        <v>22012.0</v>
      </c>
      <c r="AK53" s="133">
        <v>4.36</v>
      </c>
      <c r="AL53" s="132">
        <f>AJ53/$N53</f>
        <v>0.3407430341</v>
      </c>
      <c r="AM53" s="124"/>
      <c r="AN53" s="64">
        <v>64600.0</v>
      </c>
      <c r="AO53" s="64">
        <v>17634.0</v>
      </c>
      <c r="AP53" s="133">
        <v>4.11</v>
      </c>
      <c r="AQ53" s="132">
        <f>AO53/$N53</f>
        <v>0.2729721362</v>
      </c>
      <c r="AR53" s="5"/>
      <c r="AS53" s="64">
        <v>64600.0</v>
      </c>
      <c r="AT53" s="64">
        <v>13293.0</v>
      </c>
      <c r="AU53" s="133">
        <v>4.56</v>
      </c>
      <c r="AV53" s="132">
        <f>AT53/$N53</f>
        <v>0.2057739938</v>
      </c>
      <c r="AW53" s="5"/>
      <c r="AX53" s="134">
        <v>15870.0</v>
      </c>
      <c r="AY53" s="135">
        <v>4.22</v>
      </c>
      <c r="AZ53" s="136">
        <f>AX53/$N53</f>
        <v>0.2456656347</v>
      </c>
      <c r="BA53" s="5"/>
      <c r="BB53" s="5"/>
      <c r="BC53" s="5"/>
      <c r="BD53" s="5"/>
      <c r="BE53" s="60"/>
      <c r="BF53" s="61"/>
      <c r="BG53" s="61"/>
      <c r="BH53" s="61"/>
      <c r="BI53" s="61"/>
      <c r="BJ53" s="61"/>
      <c r="BK53" s="62"/>
      <c r="BL53" s="62"/>
      <c r="BM53" s="62"/>
      <c r="BN53" s="62"/>
      <c r="BO53" s="62"/>
      <c r="BP53" s="62"/>
      <c r="BQ53" s="62"/>
      <c r="BR53" s="62"/>
      <c r="BS53" s="62"/>
      <c r="BT53" s="62"/>
      <c r="BU53" s="62"/>
      <c r="BV53" s="62"/>
      <c r="BW53" s="62"/>
      <c r="BX53" s="62"/>
      <c r="BY53" s="62"/>
      <c r="BZ53" s="62"/>
      <c r="CA53" s="62"/>
      <c r="CB53" s="62"/>
      <c r="CC53" s="62"/>
    </row>
    <row r="54" ht="51.75" customHeight="1">
      <c r="A54" s="2"/>
      <c r="B54" s="108"/>
      <c r="C54" s="54" t="s">
        <v>68</v>
      </c>
      <c r="D54" s="55">
        <v>402000.0</v>
      </c>
      <c r="E54" s="55">
        <v>5317.0</v>
      </c>
      <c r="F54" s="56"/>
      <c r="G54" s="56">
        <f t="shared" si="41"/>
        <v>0.01322636816</v>
      </c>
      <c r="H54" s="95">
        <v>1.61</v>
      </c>
      <c r="I54" s="55">
        <v>402000.0</v>
      </c>
      <c r="J54" s="55">
        <v>6154.0</v>
      </c>
      <c r="K54" s="56"/>
      <c r="L54" s="56">
        <f t="shared" si="42"/>
        <v>0.01530845771</v>
      </c>
      <c r="M54" s="57">
        <v>1.91</v>
      </c>
      <c r="N54" s="55">
        <f t="shared" si="43"/>
        <v>402000</v>
      </c>
      <c r="O54" s="64">
        <v>5348.0</v>
      </c>
      <c r="P54" s="58">
        <v>2.2</v>
      </c>
      <c r="Q54" s="56">
        <f t="shared" si="44"/>
        <v>0.01330348259</v>
      </c>
      <c r="R54" s="96">
        <v>5737.0</v>
      </c>
      <c r="S54" s="59">
        <v>2.0</v>
      </c>
      <c r="T54" s="132">
        <f t="shared" si="45"/>
        <v>0.01427114428</v>
      </c>
      <c r="U54" s="96">
        <v>7254.0</v>
      </c>
      <c r="V54" s="59">
        <v>2.3</v>
      </c>
      <c r="W54" s="132">
        <f t="shared" si="46"/>
        <v>0.01804477612</v>
      </c>
      <c r="X54" s="64">
        <v>5665.0</v>
      </c>
      <c r="Y54" s="58">
        <v>2.2</v>
      </c>
      <c r="Z54" s="132">
        <f t="shared" si="47"/>
        <v>0.0140920398</v>
      </c>
      <c r="AA54" s="64">
        <v>5091.0</v>
      </c>
      <c r="AB54" s="58">
        <v>2.24</v>
      </c>
      <c r="AC54" s="132">
        <f t="shared" si="48"/>
        <v>0.0126641791</v>
      </c>
      <c r="AD54" s="64"/>
      <c r="AE54" s="64">
        <v>18294.0</v>
      </c>
      <c r="AF54" s="58">
        <v>3.68</v>
      </c>
      <c r="AG54" s="132">
        <f t="shared" si="49"/>
        <v>0.04550746269</v>
      </c>
      <c r="AH54" s="15"/>
      <c r="AI54" s="64"/>
      <c r="AJ54" s="64"/>
      <c r="AK54" s="58"/>
      <c r="AL54" s="132"/>
      <c r="AM54" s="124"/>
      <c r="AN54" s="64"/>
      <c r="AO54" s="64"/>
      <c r="AP54" s="58"/>
      <c r="AQ54" s="132"/>
      <c r="AR54" s="5"/>
      <c r="AS54" s="64"/>
      <c r="AT54" s="64"/>
      <c r="AU54" s="58"/>
      <c r="AV54" s="132"/>
      <c r="AW54" s="5"/>
      <c r="AX54" s="134"/>
      <c r="AY54" s="135"/>
      <c r="AZ54" s="136"/>
      <c r="BA54" s="5"/>
      <c r="BB54" s="5"/>
      <c r="BC54" s="5"/>
      <c r="BD54" s="5"/>
      <c r="BE54" s="60"/>
      <c r="BF54" s="61"/>
      <c r="BG54" s="61"/>
      <c r="BH54" s="61"/>
      <c r="BI54" s="61"/>
      <c r="BJ54" s="61"/>
      <c r="BK54" s="62"/>
      <c r="BL54" s="62"/>
      <c r="BM54" s="62"/>
      <c r="BN54" s="62"/>
      <c r="BO54" s="62"/>
      <c r="BP54" s="62"/>
      <c r="BQ54" s="62"/>
      <c r="BR54" s="62"/>
      <c r="BS54" s="62"/>
      <c r="BT54" s="62"/>
      <c r="BU54" s="62"/>
      <c r="BV54" s="62"/>
      <c r="BW54" s="62"/>
      <c r="BX54" s="62"/>
      <c r="BY54" s="62"/>
      <c r="BZ54" s="62"/>
      <c r="CA54" s="62"/>
      <c r="CB54" s="62"/>
      <c r="CC54" s="62"/>
    </row>
    <row r="55" ht="51.75" customHeight="1">
      <c r="A55" s="2"/>
      <c r="B55" s="63"/>
      <c r="C55" s="54" t="s">
        <v>49</v>
      </c>
      <c r="D55" s="55">
        <v>48000.0</v>
      </c>
      <c r="E55" s="106">
        <v>18641.0</v>
      </c>
      <c r="F55" s="56"/>
      <c r="G55" s="56">
        <f t="shared" si="41"/>
        <v>0.3883541667</v>
      </c>
      <c r="H55" s="145">
        <v>4.09</v>
      </c>
      <c r="I55" s="55">
        <v>48000.0</v>
      </c>
      <c r="J55" s="55">
        <v>19345.0</v>
      </c>
      <c r="K55" s="56"/>
      <c r="L55" s="56">
        <f t="shared" si="42"/>
        <v>0.4030208333</v>
      </c>
      <c r="M55" s="57">
        <v>2.87</v>
      </c>
      <c r="N55" s="55">
        <f t="shared" si="43"/>
        <v>48000</v>
      </c>
      <c r="O55" s="64">
        <v>20655.0</v>
      </c>
      <c r="P55" s="58">
        <v>2.68</v>
      </c>
      <c r="Q55" s="56">
        <f t="shared" si="44"/>
        <v>0.4303125</v>
      </c>
      <c r="R55" s="96">
        <v>21765.0</v>
      </c>
      <c r="S55" s="59">
        <v>2.5</v>
      </c>
      <c r="T55" s="132">
        <f t="shared" si="45"/>
        <v>0.4534375</v>
      </c>
      <c r="U55" s="96">
        <v>24673.0</v>
      </c>
      <c r="V55" s="59">
        <v>3.22</v>
      </c>
      <c r="W55" s="132">
        <f t="shared" si="46"/>
        <v>0.5140208333</v>
      </c>
      <c r="X55" s="64">
        <v>27212.0</v>
      </c>
      <c r="Y55" s="58">
        <v>2.86</v>
      </c>
      <c r="Z55" s="132">
        <f t="shared" si="47"/>
        <v>0.5669166667</v>
      </c>
      <c r="AA55" s="64">
        <v>22231.0</v>
      </c>
      <c r="AB55" s="58">
        <v>2.77</v>
      </c>
      <c r="AC55" s="132">
        <f t="shared" si="48"/>
        <v>0.4631458333</v>
      </c>
      <c r="AD55" s="64">
        <v>48000.0</v>
      </c>
      <c r="AE55" s="64">
        <v>5993.0</v>
      </c>
      <c r="AF55" s="58">
        <v>2.77</v>
      </c>
      <c r="AG55" s="132">
        <f t="shared" si="49"/>
        <v>0.1248541667</v>
      </c>
      <c r="AH55" s="15"/>
      <c r="AI55" s="64"/>
      <c r="AJ55" s="64"/>
      <c r="AK55" s="58"/>
      <c r="AL55" s="132"/>
      <c r="AM55" s="124"/>
      <c r="AN55" s="64">
        <v>48000.0</v>
      </c>
      <c r="AO55" s="64">
        <v>3448.0</v>
      </c>
      <c r="AP55" s="58">
        <v>2.43</v>
      </c>
      <c r="AQ55" s="132">
        <f>AO55/$N55</f>
        <v>0.07183333333</v>
      </c>
      <c r="AR55" s="5"/>
      <c r="AS55" s="64"/>
      <c r="AT55" s="64"/>
      <c r="AU55" s="58"/>
      <c r="AV55" s="132"/>
      <c r="AW55" s="5"/>
      <c r="AX55" s="134">
        <v>4943.0</v>
      </c>
      <c r="AY55" s="135">
        <v>1.74</v>
      </c>
      <c r="AZ55" s="136">
        <f>AX55/$N55</f>
        <v>0.1029791667</v>
      </c>
      <c r="BA55" s="5"/>
      <c r="BB55" s="5"/>
      <c r="BC55" s="5"/>
      <c r="BD55" s="5"/>
      <c r="BE55" s="60"/>
      <c r="BF55" s="61"/>
      <c r="BG55" s="61"/>
      <c r="BH55" s="61"/>
      <c r="BI55" s="61"/>
      <c r="BJ55" s="61"/>
      <c r="BK55" s="7"/>
      <c r="BL55" s="7"/>
      <c r="BM55" s="7"/>
      <c r="BN55" s="7"/>
      <c r="BO55" s="7"/>
      <c r="BP55" s="7"/>
      <c r="BQ55" s="7"/>
      <c r="BR55" s="7"/>
      <c r="BS55" s="7"/>
      <c r="BT55" s="7"/>
      <c r="BU55" s="7"/>
      <c r="BV55" s="7"/>
      <c r="BW55" s="7"/>
      <c r="BX55" s="7"/>
      <c r="BY55" s="7"/>
      <c r="BZ55" s="7"/>
      <c r="CA55" s="7"/>
      <c r="CB55" s="7"/>
      <c r="CC55" s="7"/>
    </row>
    <row r="56" ht="26.25" customHeight="1">
      <c r="A56" s="2"/>
      <c r="B56" s="65"/>
      <c r="C56" s="48"/>
      <c r="D56" s="48"/>
      <c r="E56" s="66"/>
      <c r="F56" s="67"/>
      <c r="G56" s="67"/>
      <c r="H56" s="67"/>
      <c r="I56" s="68"/>
      <c r="J56" s="68"/>
      <c r="K56" s="68"/>
      <c r="L56" s="68"/>
      <c r="M56" s="68"/>
      <c r="N56" s="68"/>
      <c r="O56" s="158"/>
      <c r="P56" s="159"/>
      <c r="Q56" s="68"/>
      <c r="R56" s="146"/>
      <c r="S56" s="146"/>
      <c r="T56" s="146"/>
      <c r="U56" s="146"/>
      <c r="V56" s="146"/>
      <c r="W56" s="146"/>
      <c r="X56" s="68"/>
      <c r="Y56" s="68"/>
      <c r="Z56" s="68"/>
      <c r="AA56" s="70"/>
      <c r="AB56" s="70"/>
      <c r="AC56" s="70"/>
      <c r="AD56" s="70"/>
      <c r="AE56" s="70"/>
      <c r="AF56" s="70"/>
      <c r="AG56" s="70"/>
      <c r="AH56" s="15"/>
      <c r="AI56" s="70"/>
      <c r="AJ56" s="70"/>
      <c r="AK56" s="70"/>
      <c r="AL56" s="70"/>
      <c r="AM56" s="124"/>
      <c r="AN56" s="70"/>
      <c r="AO56" s="70"/>
      <c r="AP56" s="70"/>
      <c r="AQ56" s="70"/>
      <c r="AR56" s="5"/>
      <c r="AS56" s="70"/>
      <c r="AT56" s="70"/>
      <c r="AU56" s="70"/>
      <c r="AV56" s="70"/>
      <c r="AW56" s="5"/>
      <c r="AX56" s="156"/>
      <c r="AY56" s="156"/>
      <c r="AZ56" s="156"/>
      <c r="BA56" s="5"/>
      <c r="BB56" s="5"/>
      <c r="BC56" s="5"/>
      <c r="BD56" s="5"/>
      <c r="BE56" s="2"/>
      <c r="BF56" s="6"/>
      <c r="BG56" s="6"/>
      <c r="BH56" s="6"/>
      <c r="BI56" s="6"/>
      <c r="BJ56" s="6"/>
      <c r="BK56" s="7"/>
      <c r="BL56" s="7"/>
      <c r="BM56" s="7"/>
      <c r="BN56" s="7"/>
      <c r="BO56" s="7"/>
      <c r="BP56" s="7"/>
      <c r="BQ56" s="7"/>
      <c r="BR56" s="7"/>
      <c r="BS56" s="7"/>
      <c r="BT56" s="7"/>
      <c r="BU56" s="7"/>
      <c r="BV56" s="7"/>
      <c r="BW56" s="7"/>
      <c r="BX56" s="7"/>
      <c r="BY56" s="7"/>
      <c r="BZ56" s="7"/>
      <c r="CA56" s="7"/>
      <c r="CB56" s="7"/>
      <c r="CC56" s="7"/>
    </row>
    <row r="57" ht="33.75" customHeight="1">
      <c r="A57" s="72"/>
      <c r="B57" s="112" t="s">
        <v>64</v>
      </c>
      <c r="C57" s="74"/>
      <c r="D57" s="75"/>
      <c r="E57" s="113">
        <f>((sum(E53:E55)-E58)/E58)</f>
        <v>0.2361185264</v>
      </c>
      <c r="F57" s="75"/>
      <c r="G57" s="75"/>
      <c r="H57" s="75"/>
      <c r="I57" s="114"/>
      <c r="J57" s="113">
        <f>((sum(J53:J55)-J58)/J58)</f>
        <v>0.212588089</v>
      </c>
      <c r="K57" s="114"/>
      <c r="L57" s="114"/>
      <c r="M57" s="138"/>
      <c r="N57" s="114"/>
      <c r="O57" s="114"/>
      <c r="P57" s="139"/>
      <c r="Q57" s="114"/>
      <c r="R57" s="147"/>
      <c r="S57" s="148"/>
      <c r="T57" s="147"/>
      <c r="U57" s="147"/>
      <c r="V57" s="148"/>
      <c r="W57" s="147"/>
      <c r="X57" s="114"/>
      <c r="Y57" s="114"/>
      <c r="Z57" s="114"/>
      <c r="AA57" s="82"/>
      <c r="AB57" s="82"/>
      <c r="AC57" s="82"/>
      <c r="AD57" s="82"/>
      <c r="AE57" s="82"/>
      <c r="AF57" s="82"/>
      <c r="AG57" s="82"/>
      <c r="AH57" s="15"/>
      <c r="AI57" s="82"/>
      <c r="AJ57" s="82"/>
      <c r="AK57" s="82"/>
      <c r="AL57" s="82"/>
      <c r="AM57" s="124"/>
      <c r="AN57" s="82"/>
      <c r="AO57" s="82"/>
      <c r="AP57" s="82"/>
      <c r="AQ57" s="82"/>
      <c r="AR57" s="5"/>
      <c r="AS57" s="82"/>
      <c r="AT57" s="82"/>
      <c r="AU57" s="82"/>
      <c r="AV57" s="82"/>
      <c r="AW57" s="5"/>
      <c r="AX57" s="153"/>
      <c r="AY57" s="153"/>
      <c r="AZ57" s="153"/>
      <c r="BA57" s="5"/>
      <c r="BB57" s="5"/>
      <c r="BC57" s="5"/>
      <c r="BD57" s="5"/>
      <c r="BE57" s="72"/>
      <c r="BF57" s="83"/>
      <c r="BG57" s="83"/>
      <c r="BH57" s="83"/>
      <c r="BI57" s="83"/>
      <c r="BJ57" s="83"/>
      <c r="BK57" s="84"/>
      <c r="BL57" s="84"/>
      <c r="BM57" s="84"/>
      <c r="BN57" s="84"/>
      <c r="BO57" s="84"/>
      <c r="BP57" s="84"/>
      <c r="BQ57" s="84"/>
      <c r="BR57" s="84"/>
      <c r="BS57" s="84"/>
      <c r="BT57" s="84"/>
      <c r="BU57" s="84"/>
      <c r="BV57" s="84"/>
      <c r="BW57" s="84"/>
      <c r="BX57" s="84"/>
      <c r="BY57" s="84"/>
      <c r="BZ57" s="84"/>
      <c r="CA57" s="84"/>
      <c r="CB57" s="84"/>
      <c r="CC57" s="84"/>
    </row>
    <row r="58" ht="33.75" customHeight="1">
      <c r="A58" s="72"/>
      <c r="B58" s="73" t="s">
        <v>51</v>
      </c>
      <c r="C58" s="74"/>
      <c r="D58" s="75"/>
      <c r="E58" s="76">
        <v>22476.0</v>
      </c>
      <c r="F58" s="75"/>
      <c r="G58" s="75"/>
      <c r="H58" s="79">
        <v>3.84</v>
      </c>
      <c r="I58" s="79"/>
      <c r="J58" s="76">
        <v>28948.0</v>
      </c>
      <c r="K58" s="79"/>
      <c r="L58" s="79"/>
      <c r="M58" s="112">
        <v>2.55</v>
      </c>
      <c r="N58" s="81"/>
      <c r="O58" s="150">
        <f>sum(O53:O55)</f>
        <v>55822</v>
      </c>
      <c r="P58" s="140"/>
      <c r="Q58" s="81"/>
      <c r="R58" s="150">
        <f>sum(R53:R55)</f>
        <v>36211</v>
      </c>
      <c r="S58" s="151"/>
      <c r="T58" s="152"/>
      <c r="U58" s="150">
        <f>sum(U53:U55)</f>
        <v>44540</v>
      </c>
      <c r="V58" s="140"/>
      <c r="W58" s="81"/>
      <c r="X58" s="150">
        <f>sum(X53:X55)</f>
        <v>47841</v>
      </c>
      <c r="Y58" s="81"/>
      <c r="Z58" s="75"/>
      <c r="AA58" s="150">
        <f>sum(AA53:AA55)</f>
        <v>39424</v>
      </c>
      <c r="AB58" s="140"/>
      <c r="AC58" s="81"/>
      <c r="AD58" s="81"/>
      <c r="AE58" s="150">
        <f>sum(AE53:AE55)</f>
        <v>36645</v>
      </c>
      <c r="AF58" s="82"/>
      <c r="AG58" s="82"/>
      <c r="AH58" s="15"/>
      <c r="AI58" s="82"/>
      <c r="AJ58" s="150">
        <f>sum(AJ53:AJ55)</f>
        <v>22012</v>
      </c>
      <c r="AK58" s="82"/>
      <c r="AL58" s="82"/>
      <c r="AM58" s="124"/>
      <c r="AN58" s="82"/>
      <c r="AO58" s="150">
        <f>sum(AO53:AO55)</f>
        <v>21082</v>
      </c>
      <c r="AP58" s="82"/>
      <c r="AQ58" s="82"/>
      <c r="AR58" s="5"/>
      <c r="AS58" s="82"/>
      <c r="AT58" s="150">
        <f>sum(AT53:AT55)</f>
        <v>13293</v>
      </c>
      <c r="AU58" s="82"/>
      <c r="AV58" s="82"/>
      <c r="AW58" s="5"/>
      <c r="AX58" s="157">
        <f>sum(AX68,AX78,AX88,AX98,AX108,AX118)</f>
        <v>0</v>
      </c>
      <c r="AY58" s="153"/>
      <c r="AZ58" s="153"/>
      <c r="BA58" s="5"/>
      <c r="BB58" s="5"/>
      <c r="BC58" s="5"/>
      <c r="BD58" s="5"/>
      <c r="BE58" s="72"/>
      <c r="BF58" s="83"/>
      <c r="BG58" s="83"/>
      <c r="BH58" s="83"/>
      <c r="BI58" s="83"/>
      <c r="BJ58" s="83"/>
      <c r="BK58" s="84"/>
      <c r="BL58" s="84"/>
      <c r="BM58" s="84"/>
      <c r="BN58" s="84"/>
      <c r="BO58" s="84"/>
      <c r="BP58" s="84"/>
      <c r="BQ58" s="84"/>
      <c r="BR58" s="84"/>
      <c r="BS58" s="84"/>
      <c r="BT58" s="84"/>
      <c r="BU58" s="84"/>
      <c r="BV58" s="84"/>
      <c r="BW58" s="84"/>
      <c r="BX58" s="84"/>
      <c r="BY58" s="84"/>
      <c r="BZ58" s="84"/>
      <c r="CA58" s="84"/>
      <c r="CB58" s="84"/>
      <c r="CC58" s="84"/>
    </row>
    <row r="59" ht="15.75" customHeight="1">
      <c r="A59" s="98"/>
      <c r="B59" s="98"/>
      <c r="C59" s="98"/>
      <c r="D59" s="98"/>
      <c r="E59" s="98"/>
      <c r="F59" s="98"/>
      <c r="G59" s="98"/>
      <c r="H59" s="98"/>
      <c r="I59" s="99"/>
      <c r="J59" s="99"/>
      <c r="K59" s="99"/>
      <c r="L59" s="99"/>
      <c r="M59" s="99"/>
      <c r="N59" s="14"/>
      <c r="O59" s="14"/>
      <c r="P59" s="123"/>
      <c r="Q59" s="14"/>
      <c r="R59" s="12"/>
      <c r="S59" s="14"/>
      <c r="T59" s="15"/>
      <c r="U59" s="12"/>
      <c r="V59" s="14"/>
      <c r="W59" s="15"/>
      <c r="X59" s="15"/>
      <c r="Y59" s="15"/>
      <c r="Z59" s="15"/>
      <c r="AA59" s="15"/>
      <c r="AB59" s="15"/>
      <c r="AC59" s="15"/>
      <c r="AD59" s="15"/>
      <c r="AE59" s="15"/>
      <c r="AF59" s="15"/>
      <c r="AG59" s="15"/>
      <c r="AH59" s="15"/>
      <c r="AI59" s="15"/>
      <c r="AJ59" s="15"/>
      <c r="AK59" s="15"/>
      <c r="AL59" s="15"/>
      <c r="AM59" s="124"/>
      <c r="AN59" s="15"/>
      <c r="AO59" s="15"/>
      <c r="AP59" s="15"/>
      <c r="AQ59" s="15"/>
      <c r="AR59" s="5"/>
      <c r="AS59" s="15"/>
      <c r="AT59" s="15"/>
      <c r="AU59" s="15"/>
      <c r="AV59" s="15"/>
      <c r="AW59" s="5"/>
      <c r="AX59" s="5"/>
      <c r="AY59" s="5"/>
      <c r="AZ59" s="5"/>
      <c r="BA59" s="5"/>
      <c r="BB59" s="5"/>
      <c r="BC59" s="5"/>
      <c r="BD59" s="5"/>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row>
    <row r="60" ht="46.5" customHeight="1">
      <c r="A60" s="2"/>
      <c r="B60" s="33" t="s">
        <v>67</v>
      </c>
      <c r="C60" s="34"/>
      <c r="D60" s="34"/>
      <c r="E60" s="34"/>
      <c r="F60" s="34"/>
      <c r="G60" s="34"/>
      <c r="H60" s="34"/>
      <c r="I60" s="34"/>
      <c r="J60" s="34"/>
      <c r="K60" s="34"/>
      <c r="L60" s="34"/>
      <c r="M60" s="34"/>
      <c r="N60" s="34"/>
      <c r="O60" s="34"/>
      <c r="P60" s="34"/>
      <c r="Q60" s="34"/>
      <c r="R60" s="34"/>
      <c r="S60" s="34"/>
      <c r="T60" s="34"/>
      <c r="U60" s="114"/>
      <c r="V60" s="114"/>
      <c r="W60" s="114"/>
      <c r="X60" s="36"/>
      <c r="Y60" s="36"/>
      <c r="Z60" s="36"/>
      <c r="AA60" s="36"/>
      <c r="AB60" s="36"/>
      <c r="AC60" s="36"/>
      <c r="AD60" s="128"/>
      <c r="AE60" s="128"/>
      <c r="AF60" s="128"/>
      <c r="AG60" s="128"/>
      <c r="AH60" s="15"/>
      <c r="AI60" s="128"/>
      <c r="AJ60" s="128"/>
      <c r="AK60" s="128"/>
      <c r="AL60" s="128"/>
      <c r="AM60" s="124"/>
      <c r="AN60" s="128"/>
      <c r="AO60" s="128"/>
      <c r="AP60" s="128"/>
      <c r="AQ60" s="128"/>
      <c r="AR60" s="5"/>
      <c r="AS60" s="128"/>
      <c r="AT60" s="128"/>
      <c r="AU60" s="128"/>
      <c r="AV60" s="128"/>
      <c r="AW60" s="5"/>
      <c r="AX60" s="153"/>
      <c r="AY60" s="153"/>
      <c r="AZ60" s="153"/>
      <c r="BA60" s="5"/>
      <c r="BB60" s="5"/>
      <c r="BC60" s="5"/>
      <c r="BD60" s="5"/>
      <c r="BE60" s="31"/>
      <c r="BF60" s="32"/>
      <c r="BG60" s="32"/>
      <c r="BH60" s="32"/>
      <c r="BI60" s="32"/>
      <c r="BJ60" s="32"/>
      <c r="BK60" s="7"/>
      <c r="BL60" s="7"/>
      <c r="BM60" s="7"/>
      <c r="BN60" s="7"/>
      <c r="BO60" s="7"/>
      <c r="BP60" s="7"/>
      <c r="BQ60" s="7"/>
      <c r="BR60" s="7"/>
      <c r="BS60" s="7"/>
      <c r="BT60" s="7"/>
      <c r="BU60" s="7"/>
      <c r="BV60" s="7"/>
      <c r="BW60" s="7"/>
      <c r="BX60" s="7"/>
      <c r="BY60" s="7"/>
      <c r="BZ60" s="7"/>
      <c r="CA60" s="7"/>
      <c r="CB60" s="7"/>
      <c r="CC60" s="7"/>
    </row>
    <row r="61" ht="30.0" customHeight="1">
      <c r="A61" s="2"/>
      <c r="B61" s="38" t="s">
        <v>14</v>
      </c>
      <c r="C61" s="39" t="s">
        <v>15</v>
      </c>
      <c r="D61" s="40" t="s">
        <v>16</v>
      </c>
      <c r="E61" s="40" t="s">
        <v>17</v>
      </c>
      <c r="F61" s="141"/>
      <c r="G61" s="40" t="s">
        <v>19</v>
      </c>
      <c r="H61" s="40" t="s">
        <v>20</v>
      </c>
      <c r="I61" s="40" t="s">
        <v>21</v>
      </c>
      <c r="J61" s="40" t="s">
        <v>22</v>
      </c>
      <c r="K61" s="141"/>
      <c r="L61" s="40" t="s">
        <v>19</v>
      </c>
      <c r="M61" s="40" t="s">
        <v>24</v>
      </c>
      <c r="N61" s="40" t="s">
        <v>25</v>
      </c>
      <c r="O61" s="41" t="s">
        <v>27</v>
      </c>
      <c r="P61" s="129" t="s">
        <v>28</v>
      </c>
      <c r="Q61" s="40" t="s">
        <v>19</v>
      </c>
      <c r="R61" s="142" t="s">
        <v>30</v>
      </c>
      <c r="S61" s="143" t="s">
        <v>71</v>
      </c>
      <c r="T61" s="142" t="s">
        <v>19</v>
      </c>
      <c r="U61" s="41" t="s">
        <v>32</v>
      </c>
      <c r="V61" s="130" t="s">
        <v>72</v>
      </c>
      <c r="W61" s="142" t="s">
        <v>19</v>
      </c>
      <c r="X61" s="42" t="s">
        <v>34</v>
      </c>
      <c r="Y61" s="42" t="s">
        <v>35</v>
      </c>
      <c r="Z61" s="40" t="s">
        <v>19</v>
      </c>
      <c r="AA61" s="42" t="s">
        <v>36</v>
      </c>
      <c r="AB61" s="42" t="s">
        <v>37</v>
      </c>
      <c r="AC61" s="40" t="s">
        <v>19</v>
      </c>
      <c r="AD61" s="41" t="s">
        <v>60</v>
      </c>
      <c r="AE61" s="42" t="s">
        <v>38</v>
      </c>
      <c r="AF61" s="42" t="s">
        <v>39</v>
      </c>
      <c r="AG61" s="40" t="s">
        <v>19</v>
      </c>
      <c r="AH61" s="15"/>
      <c r="AI61" s="41" t="s">
        <v>61</v>
      </c>
      <c r="AJ61" s="42" t="s">
        <v>40</v>
      </c>
      <c r="AK61" s="42" t="s">
        <v>41</v>
      </c>
      <c r="AL61" s="40" t="s">
        <v>19</v>
      </c>
      <c r="AM61" s="124"/>
      <c r="AN61" s="41" t="s">
        <v>73</v>
      </c>
      <c r="AO61" s="42" t="s">
        <v>40</v>
      </c>
      <c r="AP61" s="42" t="s">
        <v>41</v>
      </c>
      <c r="AQ61" s="40" t="s">
        <v>19</v>
      </c>
      <c r="AR61" s="5"/>
      <c r="AS61" s="41" t="s">
        <v>74</v>
      </c>
      <c r="AT61" s="42" t="s">
        <v>44</v>
      </c>
      <c r="AU61" s="42" t="s">
        <v>75</v>
      </c>
      <c r="AV61" s="40" t="s">
        <v>19</v>
      </c>
      <c r="AW61" s="5"/>
      <c r="AX61" s="154" t="s">
        <v>46</v>
      </c>
      <c r="AY61" s="154" t="s">
        <v>76</v>
      </c>
      <c r="AZ61" s="155" t="s">
        <v>19</v>
      </c>
      <c r="BA61" s="5"/>
      <c r="BB61" s="5"/>
      <c r="BC61" s="5"/>
      <c r="BD61" s="5"/>
      <c r="BE61" s="9"/>
      <c r="BF61" s="46"/>
      <c r="BG61" s="46"/>
      <c r="BH61" s="46"/>
      <c r="BI61" s="46"/>
      <c r="BJ61" s="46"/>
      <c r="BK61" s="47"/>
      <c r="BL61" s="48"/>
      <c r="BM61" s="48"/>
      <c r="BR61" s="7"/>
      <c r="BS61" s="7"/>
      <c r="BT61" s="7"/>
      <c r="BU61" s="7"/>
      <c r="BV61" s="7"/>
      <c r="BW61" s="7"/>
      <c r="BX61" s="7"/>
      <c r="BY61" s="7"/>
      <c r="BZ61" s="7"/>
      <c r="CA61" s="7"/>
      <c r="CB61" s="7"/>
      <c r="CC61" s="7"/>
    </row>
    <row r="62" ht="30.0" customHeight="1">
      <c r="A62" s="2"/>
      <c r="C62" s="28"/>
      <c r="D62" s="49"/>
      <c r="E62" s="49"/>
      <c r="F62" s="141"/>
      <c r="G62" s="49"/>
      <c r="H62" s="49"/>
      <c r="I62" s="49"/>
      <c r="J62" s="49"/>
      <c r="K62" s="141"/>
      <c r="L62" s="49"/>
      <c r="M62" s="49"/>
      <c r="N62" s="49"/>
      <c r="O62" s="49"/>
      <c r="P62" s="49"/>
      <c r="Q62" s="49"/>
      <c r="R62" s="49"/>
      <c r="S62" s="49"/>
      <c r="T62" s="49"/>
      <c r="U62" s="49"/>
      <c r="V62" s="49"/>
      <c r="W62" s="49"/>
      <c r="X62" s="49"/>
      <c r="Y62" s="49"/>
      <c r="Z62" s="49"/>
      <c r="AA62" s="49"/>
      <c r="AB62" s="49"/>
      <c r="AC62" s="49"/>
      <c r="AD62" s="49"/>
      <c r="AE62" s="49"/>
      <c r="AF62" s="49"/>
      <c r="AG62" s="49"/>
      <c r="AH62" s="15"/>
      <c r="AI62" s="49"/>
      <c r="AJ62" s="49"/>
      <c r="AK62" s="49"/>
      <c r="AL62" s="49"/>
      <c r="AM62" s="124"/>
      <c r="AN62" s="49"/>
      <c r="AO62" s="49"/>
      <c r="AP62" s="49"/>
      <c r="AQ62" s="49"/>
      <c r="AR62" s="5"/>
      <c r="AS62" s="49"/>
      <c r="AT62" s="49"/>
      <c r="AU62" s="49"/>
      <c r="AV62" s="49"/>
      <c r="AW62" s="5"/>
      <c r="AX62" s="49"/>
      <c r="AY62" s="49"/>
      <c r="AZ62" s="49"/>
      <c r="BA62" s="5"/>
      <c r="BB62" s="5"/>
      <c r="BC62" s="5"/>
      <c r="BD62" s="5"/>
      <c r="BE62" s="50"/>
      <c r="BF62" s="51"/>
      <c r="BG62" s="51"/>
      <c r="BH62" s="51"/>
      <c r="BI62" s="51"/>
      <c r="BJ62" s="51"/>
      <c r="BK62" s="52">
        <v>18.0</v>
      </c>
      <c r="BL62" s="52">
        <v>25.0</v>
      </c>
      <c r="BM62" s="52">
        <v>2.0</v>
      </c>
      <c r="BN62" s="52">
        <v>9.0</v>
      </c>
      <c r="BO62" s="52">
        <v>16.0</v>
      </c>
      <c r="BP62" s="52">
        <v>23.0</v>
      </c>
      <c r="BQ62" s="52">
        <v>30.0</v>
      </c>
      <c r="BR62" s="7"/>
      <c r="BS62" s="7"/>
      <c r="BT62" s="7"/>
      <c r="BU62" s="7"/>
      <c r="BV62" s="7"/>
      <c r="BW62" s="7"/>
      <c r="BX62" s="7"/>
      <c r="BY62" s="7"/>
      <c r="BZ62" s="7"/>
      <c r="CA62" s="7"/>
      <c r="CB62" s="7"/>
      <c r="CC62" s="7"/>
    </row>
    <row r="63" ht="51.75" customHeight="1">
      <c r="A63" s="2"/>
      <c r="B63" s="53" t="s">
        <v>77</v>
      </c>
      <c r="C63" s="54" t="s">
        <v>15</v>
      </c>
      <c r="D63" s="55">
        <v>42000.0</v>
      </c>
      <c r="E63" s="95">
        <v>965.0</v>
      </c>
      <c r="F63" s="56"/>
      <c r="G63" s="56">
        <f t="shared" ref="G63:G65" si="50">E63/D63</f>
        <v>0.02297619048</v>
      </c>
      <c r="H63" s="95">
        <v>4.38</v>
      </c>
      <c r="I63" s="55">
        <v>42000.0</v>
      </c>
      <c r="J63" s="55">
        <v>5070.0</v>
      </c>
      <c r="K63" s="56"/>
      <c r="L63" s="56">
        <f t="shared" ref="L63:L65" si="51">J63/I63</f>
        <v>0.1207142857</v>
      </c>
      <c r="M63" s="57">
        <v>2.77</v>
      </c>
      <c r="N63" s="55">
        <f t="shared" ref="N63:N65" si="52">I63</f>
        <v>42000</v>
      </c>
      <c r="O63" s="64">
        <v>16897.0</v>
      </c>
      <c r="P63" s="58">
        <v>2.71</v>
      </c>
      <c r="Q63" s="56">
        <f t="shared" ref="Q63:Q65" si="53">O63/N63</f>
        <v>0.4023095238</v>
      </c>
      <c r="R63" s="96">
        <v>4808.0</v>
      </c>
      <c r="S63" s="59">
        <v>2.92</v>
      </c>
      <c r="T63" s="132">
        <f t="shared" ref="T63:T65" si="54">R63/N63</f>
        <v>0.1144761905</v>
      </c>
      <c r="U63" s="96">
        <v>5617.0</v>
      </c>
      <c r="V63" s="59">
        <v>2.5</v>
      </c>
      <c r="W63" s="132">
        <f t="shared" ref="W63:W65" si="55">U63/N63</f>
        <v>0.1337380952</v>
      </c>
      <c r="X63" s="64">
        <v>5848.0</v>
      </c>
      <c r="Y63" s="133">
        <v>2.48</v>
      </c>
      <c r="Z63" s="132">
        <f t="shared" ref="Z63:Z65" si="56">X63/N63</f>
        <v>0.1392380952</v>
      </c>
      <c r="AA63" s="64">
        <v>6547.0</v>
      </c>
      <c r="AB63" s="133">
        <v>2.17</v>
      </c>
      <c r="AC63" s="132">
        <f t="shared" ref="AC63:AC65" si="57">AA63/$N63</f>
        <v>0.1558809524</v>
      </c>
      <c r="AD63" s="64">
        <v>42000.0</v>
      </c>
      <c r="AE63" s="64">
        <v>5718.0</v>
      </c>
      <c r="AF63" s="133">
        <v>4.98</v>
      </c>
      <c r="AG63" s="132">
        <f t="shared" ref="AG63:AG65" si="58">AE63/$N63</f>
        <v>0.1361428571</v>
      </c>
      <c r="AH63" s="15"/>
      <c r="AI63" s="64">
        <v>42000.0</v>
      </c>
      <c r="AJ63" s="64">
        <v>11567.0</v>
      </c>
      <c r="AK63" s="133">
        <v>4.54</v>
      </c>
      <c r="AL63" s="132">
        <f>AJ63/$N63</f>
        <v>0.2754047619</v>
      </c>
      <c r="AM63" s="124"/>
      <c r="AN63" s="64">
        <v>42000.0</v>
      </c>
      <c r="AO63" s="64">
        <v>6297.0</v>
      </c>
      <c r="AP63" s="133">
        <v>6.2</v>
      </c>
      <c r="AQ63" s="132">
        <f>AO63/$N63</f>
        <v>0.1499285714</v>
      </c>
      <c r="AR63" s="5"/>
      <c r="AS63" s="64">
        <v>42000.0</v>
      </c>
      <c r="AT63" s="64">
        <v>6018.0</v>
      </c>
      <c r="AU63" s="133">
        <v>7.3</v>
      </c>
      <c r="AV63" s="132">
        <f>AT63/$N63</f>
        <v>0.1432857143</v>
      </c>
      <c r="AW63" s="5"/>
      <c r="AX63" s="134">
        <v>6146.0</v>
      </c>
      <c r="AY63" s="135">
        <v>5.68</v>
      </c>
      <c r="AZ63" s="136">
        <f>AX63/$N63</f>
        <v>0.1463333333</v>
      </c>
      <c r="BA63" s="5"/>
      <c r="BB63" s="5"/>
      <c r="BC63" s="5"/>
      <c r="BD63" s="5"/>
      <c r="BE63" s="60"/>
      <c r="BF63" s="61"/>
      <c r="BG63" s="61"/>
      <c r="BH63" s="61"/>
      <c r="BI63" s="61"/>
      <c r="BJ63" s="61"/>
      <c r="BK63" s="62"/>
      <c r="BL63" s="62"/>
      <c r="BM63" s="62"/>
      <c r="BN63" s="62"/>
      <c r="BO63" s="62"/>
      <c r="BP63" s="62"/>
      <c r="BQ63" s="62"/>
      <c r="BR63" s="62"/>
      <c r="BS63" s="62"/>
      <c r="BT63" s="62"/>
      <c r="BU63" s="62"/>
      <c r="BV63" s="62"/>
      <c r="BW63" s="62"/>
      <c r="BX63" s="62"/>
      <c r="BY63" s="62"/>
      <c r="BZ63" s="62"/>
      <c r="CA63" s="62"/>
      <c r="CB63" s="62"/>
      <c r="CC63" s="62"/>
    </row>
    <row r="64" ht="51.75" customHeight="1">
      <c r="A64" s="2"/>
      <c r="B64" s="108"/>
      <c r="C64" s="54" t="s">
        <v>68</v>
      </c>
      <c r="D64" s="55">
        <v>594000.0</v>
      </c>
      <c r="E64" s="55">
        <v>3730.0</v>
      </c>
      <c r="F64" s="56"/>
      <c r="G64" s="56">
        <f t="shared" si="50"/>
        <v>0.006279461279</v>
      </c>
      <c r="H64" s="95">
        <v>1.96</v>
      </c>
      <c r="I64" s="55">
        <v>594000.0</v>
      </c>
      <c r="J64" s="55">
        <v>3471.0</v>
      </c>
      <c r="K64" s="56"/>
      <c r="L64" s="56">
        <f t="shared" si="51"/>
        <v>0.005843434343</v>
      </c>
      <c r="M64" s="57">
        <v>1.91</v>
      </c>
      <c r="N64" s="55">
        <f t="shared" si="52"/>
        <v>594000</v>
      </c>
      <c r="O64" s="64">
        <v>3841.0</v>
      </c>
      <c r="P64" s="58">
        <v>1.72</v>
      </c>
      <c r="Q64" s="56">
        <f t="shared" si="53"/>
        <v>0.006466329966</v>
      </c>
      <c r="R64" s="96">
        <v>2872.0</v>
      </c>
      <c r="S64" s="59">
        <v>2.31</v>
      </c>
      <c r="T64" s="132">
        <f t="shared" si="54"/>
        <v>0.004835016835</v>
      </c>
      <c r="U64" s="96">
        <v>3519.0</v>
      </c>
      <c r="V64" s="59">
        <v>1.88</v>
      </c>
      <c r="W64" s="132">
        <f t="shared" si="55"/>
        <v>0.005924242424</v>
      </c>
      <c r="X64" s="64">
        <v>3298.0</v>
      </c>
      <c r="Y64" s="58">
        <v>1.78</v>
      </c>
      <c r="Z64" s="132">
        <f t="shared" si="56"/>
        <v>0.005552188552</v>
      </c>
      <c r="AA64" s="64">
        <v>2775.0</v>
      </c>
      <c r="AB64" s="58">
        <v>2.03</v>
      </c>
      <c r="AC64" s="132">
        <f t="shared" si="57"/>
        <v>0.004671717172</v>
      </c>
      <c r="AD64" s="64"/>
      <c r="AE64" s="64">
        <v>8373.0</v>
      </c>
      <c r="AF64" s="133">
        <v>4.51</v>
      </c>
      <c r="AG64" s="132">
        <f t="shared" si="58"/>
        <v>0.0140959596</v>
      </c>
      <c r="AH64" s="15"/>
      <c r="AI64" s="64"/>
      <c r="AJ64" s="64"/>
      <c r="AK64" s="133"/>
      <c r="AL64" s="132"/>
      <c r="AM64" s="124"/>
      <c r="AN64" s="64"/>
      <c r="AO64" s="64"/>
      <c r="AP64" s="133"/>
      <c r="AQ64" s="132"/>
      <c r="AR64" s="5"/>
      <c r="AS64" s="64"/>
      <c r="AT64" s="64"/>
      <c r="AU64" s="133"/>
      <c r="AV64" s="132"/>
      <c r="AW64" s="5"/>
      <c r="AX64" s="134"/>
      <c r="AY64" s="135"/>
      <c r="AZ64" s="136"/>
      <c r="BA64" s="5"/>
      <c r="BB64" s="5"/>
      <c r="BC64" s="5"/>
      <c r="BD64" s="5"/>
      <c r="BE64" s="60"/>
      <c r="BF64" s="61"/>
      <c r="BG64" s="61"/>
      <c r="BH64" s="61"/>
      <c r="BI64" s="61"/>
      <c r="BJ64" s="61"/>
      <c r="BK64" s="62"/>
      <c r="BL64" s="62"/>
      <c r="BM64" s="62"/>
      <c r="BN64" s="62"/>
      <c r="BO64" s="62"/>
      <c r="BP64" s="62"/>
      <c r="BQ64" s="62"/>
      <c r="BR64" s="62"/>
      <c r="BS64" s="62"/>
      <c r="BT64" s="62"/>
      <c r="BU64" s="62"/>
      <c r="BV64" s="62"/>
      <c r="BW64" s="62"/>
      <c r="BX64" s="62"/>
      <c r="BY64" s="62"/>
      <c r="BZ64" s="62"/>
      <c r="CA64" s="62"/>
      <c r="CB64" s="62"/>
      <c r="CC64" s="62"/>
    </row>
    <row r="65" ht="51.75" customHeight="1">
      <c r="A65" s="2"/>
      <c r="B65" s="63"/>
      <c r="C65" s="54" t="s">
        <v>49</v>
      </c>
      <c r="D65" s="55">
        <v>23000.0</v>
      </c>
      <c r="E65" s="106">
        <v>14459.0</v>
      </c>
      <c r="F65" s="56"/>
      <c r="G65" s="56">
        <f t="shared" si="50"/>
        <v>0.6286521739</v>
      </c>
      <c r="H65" s="145">
        <v>2.88</v>
      </c>
      <c r="I65" s="55">
        <v>23000.0</v>
      </c>
      <c r="J65" s="55">
        <v>9413.0</v>
      </c>
      <c r="K65" s="56"/>
      <c r="L65" s="56">
        <f t="shared" si="51"/>
        <v>0.4092608696</v>
      </c>
      <c r="M65" s="57">
        <v>3.33</v>
      </c>
      <c r="N65" s="55">
        <f t="shared" si="52"/>
        <v>23000</v>
      </c>
      <c r="O65" s="64">
        <v>11036.0</v>
      </c>
      <c r="P65" s="58">
        <v>2.88</v>
      </c>
      <c r="Q65" s="56">
        <f t="shared" si="53"/>
        <v>0.479826087</v>
      </c>
      <c r="R65" s="96">
        <v>10602.0</v>
      </c>
      <c r="S65" s="59">
        <v>2.96</v>
      </c>
      <c r="T65" s="132">
        <f t="shared" si="54"/>
        <v>0.4609565217</v>
      </c>
      <c r="U65" s="96">
        <v>11938.0</v>
      </c>
      <c r="V65" s="59">
        <v>2.62</v>
      </c>
      <c r="W65" s="132">
        <f t="shared" si="55"/>
        <v>0.5190434783</v>
      </c>
      <c r="X65" s="64">
        <v>16438.0</v>
      </c>
      <c r="Y65" s="58">
        <v>2.18</v>
      </c>
      <c r="Z65" s="132">
        <f t="shared" si="56"/>
        <v>0.7146956522</v>
      </c>
      <c r="AA65" s="64">
        <v>8149.0</v>
      </c>
      <c r="AB65" s="58">
        <v>3.03</v>
      </c>
      <c r="AC65" s="132">
        <f t="shared" si="57"/>
        <v>0.3543043478</v>
      </c>
      <c r="AD65" s="64">
        <v>23000.0</v>
      </c>
      <c r="AE65" s="64">
        <v>2836.0</v>
      </c>
      <c r="AF65" s="133">
        <v>3.29</v>
      </c>
      <c r="AG65" s="132">
        <f t="shared" si="58"/>
        <v>0.1233043478</v>
      </c>
      <c r="AH65" s="15"/>
      <c r="AI65" s="64"/>
      <c r="AJ65" s="64"/>
      <c r="AK65" s="133"/>
      <c r="AL65" s="132"/>
      <c r="AM65" s="124"/>
      <c r="AN65" s="64">
        <v>23000.0</v>
      </c>
      <c r="AO65" s="64">
        <v>1573.0</v>
      </c>
      <c r="AP65" s="133">
        <v>3.07</v>
      </c>
      <c r="AQ65" s="132">
        <f>AO65/$N65</f>
        <v>0.06839130435</v>
      </c>
      <c r="AR65" s="5"/>
      <c r="AS65" s="64"/>
      <c r="AT65" s="64"/>
      <c r="AU65" s="133"/>
      <c r="AV65" s="132"/>
      <c r="AW65" s="5"/>
      <c r="AX65" s="134">
        <v>2494.0</v>
      </c>
      <c r="AY65" s="135">
        <v>1.99</v>
      </c>
      <c r="AZ65" s="136">
        <f>AX65/$N65</f>
        <v>0.1084347826</v>
      </c>
      <c r="BA65" s="5"/>
      <c r="BB65" s="5"/>
      <c r="BC65" s="5"/>
      <c r="BD65" s="5"/>
      <c r="BE65" s="60"/>
      <c r="BF65" s="61"/>
      <c r="BG65" s="61"/>
      <c r="BH65" s="61"/>
      <c r="BI65" s="61"/>
      <c r="BJ65" s="61"/>
      <c r="BK65" s="7"/>
      <c r="BL65" s="7"/>
      <c r="BM65" s="7"/>
      <c r="BN65" s="7"/>
      <c r="BO65" s="7"/>
      <c r="BP65" s="7"/>
      <c r="BQ65" s="7"/>
      <c r="BR65" s="7"/>
      <c r="BS65" s="7"/>
      <c r="BT65" s="7"/>
      <c r="BU65" s="7"/>
      <c r="BV65" s="7"/>
      <c r="BW65" s="7"/>
      <c r="BX65" s="7"/>
      <c r="BY65" s="7"/>
      <c r="BZ65" s="7"/>
      <c r="CA65" s="7"/>
      <c r="CB65" s="7"/>
      <c r="CC65" s="7"/>
    </row>
    <row r="66" ht="26.25" customHeight="1">
      <c r="A66" s="2"/>
      <c r="B66" s="65"/>
      <c r="C66" s="48"/>
      <c r="D66" s="48"/>
      <c r="E66" s="66"/>
      <c r="F66" s="67"/>
      <c r="G66" s="67"/>
      <c r="H66" s="67"/>
      <c r="I66" s="68"/>
      <c r="J66" s="68"/>
      <c r="K66" s="68"/>
      <c r="L66" s="68"/>
      <c r="M66" s="68"/>
      <c r="N66" s="68"/>
      <c r="O66" s="68"/>
      <c r="P66" s="137"/>
      <c r="Q66" s="68"/>
      <c r="R66" s="146"/>
      <c r="S66" s="146"/>
      <c r="T66" s="146"/>
      <c r="U66" s="146"/>
      <c r="V66" s="146"/>
      <c r="W66" s="146"/>
      <c r="X66" s="68"/>
      <c r="Y66" s="68"/>
      <c r="Z66" s="68"/>
      <c r="AA66" s="70"/>
      <c r="AB66" s="70"/>
      <c r="AC66" s="70"/>
      <c r="AD66" s="70"/>
      <c r="AE66" s="70"/>
      <c r="AF66" s="70"/>
      <c r="AG66" s="70"/>
      <c r="AH66" s="15"/>
      <c r="AI66" s="70"/>
      <c r="AJ66" s="70"/>
      <c r="AK66" s="70"/>
      <c r="AL66" s="70"/>
      <c r="AM66" s="124"/>
      <c r="AN66" s="70"/>
      <c r="AO66" s="70"/>
      <c r="AP66" s="70"/>
      <c r="AQ66" s="70"/>
      <c r="AR66" s="5"/>
      <c r="AS66" s="70"/>
      <c r="AT66" s="70"/>
      <c r="AU66" s="70"/>
      <c r="AV66" s="70"/>
      <c r="AW66" s="5"/>
      <c r="AX66" s="156"/>
      <c r="AY66" s="156"/>
      <c r="AZ66" s="156"/>
      <c r="BA66" s="5"/>
      <c r="BB66" s="5"/>
      <c r="BC66" s="5"/>
      <c r="BD66" s="5"/>
      <c r="BE66" s="2"/>
      <c r="BF66" s="6"/>
      <c r="BG66" s="6"/>
      <c r="BH66" s="6"/>
      <c r="BI66" s="6"/>
      <c r="BJ66" s="6"/>
      <c r="BK66" s="7"/>
      <c r="BL66" s="7"/>
      <c r="BM66" s="7"/>
      <c r="BN66" s="7"/>
      <c r="BO66" s="7"/>
      <c r="BP66" s="7"/>
      <c r="BQ66" s="7"/>
      <c r="BR66" s="7"/>
      <c r="BS66" s="7"/>
      <c r="BT66" s="7"/>
      <c r="BU66" s="7"/>
      <c r="BV66" s="7"/>
      <c r="BW66" s="7"/>
      <c r="BX66" s="7"/>
      <c r="BY66" s="7"/>
      <c r="BZ66" s="7"/>
      <c r="CA66" s="7"/>
      <c r="CB66" s="7"/>
      <c r="CC66" s="7"/>
    </row>
    <row r="67" ht="33.75" customHeight="1">
      <c r="A67" s="72"/>
      <c r="B67" s="112" t="s">
        <v>64</v>
      </c>
      <c r="C67" s="74"/>
      <c r="D67" s="75"/>
      <c r="E67" s="113">
        <f>((sum(E63:E65)-E68)/E68)</f>
        <v>0.2422336079</v>
      </c>
      <c r="F67" s="75"/>
      <c r="G67" s="75"/>
      <c r="H67" s="75"/>
      <c r="I67" s="114"/>
      <c r="J67" s="113">
        <f>((sum(J63:J65)-J68)/J68)</f>
        <v>0.2396602914</v>
      </c>
      <c r="K67" s="114"/>
      <c r="L67" s="114"/>
      <c r="M67" s="138"/>
      <c r="N67" s="114"/>
      <c r="O67" s="114"/>
      <c r="P67" s="139"/>
      <c r="Q67" s="114"/>
      <c r="R67" s="147"/>
      <c r="S67" s="148"/>
      <c r="T67" s="147"/>
      <c r="U67" s="147"/>
      <c r="V67" s="148"/>
      <c r="W67" s="147"/>
      <c r="X67" s="114"/>
      <c r="Y67" s="114"/>
      <c r="Z67" s="114"/>
      <c r="AA67" s="82"/>
      <c r="AB67" s="82"/>
      <c r="AC67" s="82"/>
      <c r="AD67" s="82"/>
      <c r="AE67" s="82"/>
      <c r="AF67" s="82"/>
      <c r="AG67" s="82"/>
      <c r="AH67" s="15"/>
      <c r="AI67" s="82"/>
      <c r="AJ67" s="82"/>
      <c r="AK67" s="82"/>
      <c r="AL67" s="82"/>
      <c r="AM67" s="124"/>
      <c r="AN67" s="82"/>
      <c r="AO67" s="82"/>
      <c r="AP67" s="82"/>
      <c r="AQ67" s="82"/>
      <c r="AR67" s="5"/>
      <c r="AS67" s="82"/>
      <c r="AT67" s="82"/>
      <c r="AU67" s="82"/>
      <c r="AV67" s="82"/>
      <c r="AW67" s="5"/>
      <c r="AX67" s="153"/>
      <c r="AY67" s="153"/>
      <c r="AZ67" s="153"/>
      <c r="BA67" s="5"/>
      <c r="BB67" s="5"/>
      <c r="BC67" s="5"/>
      <c r="BD67" s="5"/>
      <c r="BE67" s="72"/>
      <c r="BF67" s="83"/>
      <c r="BG67" s="83"/>
      <c r="BH67" s="83"/>
      <c r="BI67" s="83"/>
      <c r="BJ67" s="83"/>
      <c r="BK67" s="84"/>
      <c r="BL67" s="84"/>
      <c r="BM67" s="84"/>
      <c r="BN67" s="84"/>
      <c r="BO67" s="84"/>
      <c r="BP67" s="84"/>
      <c r="BQ67" s="84"/>
      <c r="BR67" s="84"/>
      <c r="BS67" s="84"/>
      <c r="BT67" s="84"/>
      <c r="BU67" s="84"/>
      <c r="BV67" s="84"/>
      <c r="BW67" s="84"/>
      <c r="BX67" s="84"/>
      <c r="BY67" s="84"/>
      <c r="BZ67" s="84"/>
      <c r="CA67" s="84"/>
      <c r="CB67" s="84"/>
      <c r="CC67" s="84"/>
    </row>
    <row r="68" ht="33.75" customHeight="1">
      <c r="A68" s="72"/>
      <c r="B68" s="73" t="s">
        <v>51</v>
      </c>
      <c r="C68" s="74"/>
      <c r="D68" s="75"/>
      <c r="E68" s="76">
        <v>15419.0</v>
      </c>
      <c r="F68" s="79"/>
      <c r="G68" s="79"/>
      <c r="H68" s="77">
        <v>2.97</v>
      </c>
      <c r="I68" s="75"/>
      <c r="J68" s="76">
        <v>14483.0</v>
      </c>
      <c r="K68" s="79"/>
      <c r="L68" s="79"/>
      <c r="M68" s="112">
        <v>3.13</v>
      </c>
      <c r="N68" s="81"/>
      <c r="O68" s="150">
        <f>sum(O63:O65)</f>
        <v>31774</v>
      </c>
      <c r="P68" s="140"/>
      <c r="Q68" s="81"/>
      <c r="R68" s="150">
        <f>sum(R63:R65)</f>
        <v>18282</v>
      </c>
      <c r="S68" s="151"/>
      <c r="T68" s="152"/>
      <c r="U68" s="150">
        <f>sum(U63:U65)</f>
        <v>21074</v>
      </c>
      <c r="V68" s="140"/>
      <c r="W68" s="81"/>
      <c r="X68" s="150">
        <f>sum(X63:X65)</f>
        <v>25584</v>
      </c>
      <c r="Y68" s="81"/>
      <c r="Z68" s="75"/>
      <c r="AA68" s="150">
        <f>sum(AA63:AA65)</f>
        <v>17471</v>
      </c>
      <c r="AB68" s="140"/>
      <c r="AC68" s="81"/>
      <c r="AD68" s="81"/>
      <c r="AE68" s="150">
        <f>sum(AE63:AE65)</f>
        <v>16927</v>
      </c>
      <c r="AF68" s="82"/>
      <c r="AG68" s="82"/>
      <c r="AH68" s="15"/>
      <c r="AI68" s="82"/>
      <c r="AJ68" s="150">
        <f>sum(AJ63:AJ65)</f>
        <v>11567</v>
      </c>
      <c r="AK68" s="82"/>
      <c r="AL68" s="82"/>
      <c r="AM68" s="124"/>
      <c r="AN68" s="82"/>
      <c r="AO68" s="150">
        <f>sum(AO63:AO65)</f>
        <v>7870</v>
      </c>
      <c r="AP68" s="82"/>
      <c r="AQ68" s="82"/>
      <c r="AR68" s="5"/>
      <c r="AS68" s="82"/>
      <c r="AT68" s="150">
        <f>sum(AT63:AT65)</f>
        <v>6018</v>
      </c>
      <c r="AU68" s="82"/>
      <c r="AV68" s="82"/>
      <c r="AW68" s="5"/>
      <c r="AX68" s="157">
        <f>sum(AX78,AX88,AX98,AX108,AX118,AX128)</f>
        <v>0</v>
      </c>
      <c r="AY68" s="153"/>
      <c r="AZ68" s="153"/>
      <c r="BA68" s="5"/>
      <c r="BB68" s="5"/>
      <c r="BC68" s="5"/>
      <c r="BD68" s="5"/>
      <c r="BE68" s="72"/>
      <c r="BF68" s="83"/>
      <c r="BG68" s="83"/>
      <c r="BH68" s="83"/>
      <c r="BI68" s="83"/>
      <c r="BJ68" s="83"/>
      <c r="BK68" s="84"/>
      <c r="BL68" s="84"/>
      <c r="BM68" s="84"/>
      <c r="BN68" s="84"/>
      <c r="BO68" s="84"/>
      <c r="BP68" s="84"/>
      <c r="BQ68" s="84"/>
      <c r="BR68" s="84"/>
      <c r="BS68" s="84"/>
      <c r="BT68" s="84"/>
      <c r="BU68" s="84"/>
      <c r="BV68" s="84"/>
      <c r="BW68" s="84"/>
      <c r="BX68" s="84"/>
      <c r="BY68" s="84"/>
      <c r="BZ68" s="84"/>
      <c r="CA68" s="84"/>
      <c r="CB68" s="84"/>
      <c r="CC68" s="84"/>
    </row>
    <row r="69" ht="15.75" customHeight="1">
      <c r="A69" s="98"/>
      <c r="B69" s="98"/>
      <c r="C69" s="98"/>
      <c r="D69" s="98"/>
      <c r="E69" s="98"/>
      <c r="F69" s="98"/>
      <c r="G69" s="98"/>
      <c r="H69" s="98"/>
      <c r="I69" s="99"/>
      <c r="J69" s="99"/>
      <c r="K69" s="99"/>
      <c r="L69" s="99"/>
      <c r="M69" s="99"/>
      <c r="N69" s="14"/>
      <c r="O69" s="14"/>
      <c r="P69" s="123"/>
      <c r="Q69" s="14"/>
      <c r="R69" s="12"/>
      <c r="S69" s="14"/>
      <c r="T69" s="15"/>
      <c r="U69" s="12"/>
      <c r="V69" s="14"/>
      <c r="W69" s="15"/>
      <c r="X69" s="15"/>
      <c r="Y69" s="15"/>
      <c r="Z69" s="15"/>
      <c r="AA69" s="15"/>
      <c r="AB69" s="15"/>
      <c r="AC69" s="15"/>
      <c r="AD69" s="15"/>
      <c r="AE69" s="15"/>
      <c r="AF69" s="15"/>
      <c r="AG69" s="15"/>
      <c r="AH69" s="15"/>
      <c r="AI69" s="15"/>
      <c r="AJ69" s="15"/>
      <c r="AK69" s="15"/>
      <c r="AL69" s="15"/>
      <c r="AM69" s="124"/>
      <c r="AN69" s="15"/>
      <c r="AO69" s="15"/>
      <c r="AP69" s="15"/>
      <c r="AQ69" s="15"/>
      <c r="AR69" s="5"/>
      <c r="AS69" s="15"/>
      <c r="AT69" s="15"/>
      <c r="AU69" s="15"/>
      <c r="AV69" s="15"/>
      <c r="AW69" s="5"/>
      <c r="AX69" s="5"/>
      <c r="AY69" s="5"/>
      <c r="AZ69" s="5"/>
      <c r="BA69" s="5"/>
      <c r="BB69" s="5"/>
      <c r="BC69" s="5"/>
      <c r="BD69" s="5"/>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row>
    <row r="70" ht="46.5" customHeight="1">
      <c r="A70" s="2"/>
      <c r="B70" s="33" t="s">
        <v>69</v>
      </c>
      <c r="C70" s="34"/>
      <c r="D70" s="34"/>
      <c r="E70" s="34"/>
      <c r="F70" s="34"/>
      <c r="G70" s="34"/>
      <c r="H70" s="34"/>
      <c r="I70" s="34"/>
      <c r="J70" s="34"/>
      <c r="K70" s="34"/>
      <c r="L70" s="34"/>
      <c r="M70" s="34"/>
      <c r="N70" s="34"/>
      <c r="O70" s="34"/>
      <c r="P70" s="34"/>
      <c r="Q70" s="34"/>
      <c r="R70" s="34"/>
      <c r="S70" s="34"/>
      <c r="T70" s="34"/>
      <c r="U70" s="114"/>
      <c r="V70" s="114"/>
      <c r="W70" s="114"/>
      <c r="X70" s="36"/>
      <c r="Y70" s="36"/>
      <c r="Z70" s="36"/>
      <c r="AA70" s="36"/>
      <c r="AB70" s="36"/>
      <c r="AC70" s="36"/>
      <c r="AD70" s="128"/>
      <c r="AE70" s="128"/>
      <c r="AF70" s="128"/>
      <c r="AG70" s="128"/>
      <c r="AH70" s="15"/>
      <c r="AI70" s="128"/>
      <c r="AJ70" s="128"/>
      <c r="AK70" s="128"/>
      <c r="AL70" s="128"/>
      <c r="AM70" s="124"/>
      <c r="AN70" s="128"/>
      <c r="AO70" s="128"/>
      <c r="AP70" s="128"/>
      <c r="AQ70" s="128"/>
      <c r="AR70" s="5"/>
      <c r="AS70" s="128"/>
      <c r="AT70" s="128"/>
      <c r="AU70" s="128"/>
      <c r="AV70" s="128"/>
      <c r="AW70" s="5"/>
      <c r="AX70" s="153"/>
      <c r="AY70" s="153"/>
      <c r="AZ70" s="153"/>
      <c r="BA70" s="5"/>
      <c r="BB70" s="5"/>
      <c r="BC70" s="5"/>
      <c r="BD70" s="5"/>
      <c r="BE70" s="31"/>
      <c r="BF70" s="32"/>
      <c r="BG70" s="32"/>
      <c r="BH70" s="32"/>
      <c r="BI70" s="32"/>
      <c r="BJ70" s="32"/>
      <c r="BK70" s="7"/>
      <c r="BL70" s="7"/>
      <c r="BM70" s="7"/>
      <c r="BN70" s="7"/>
      <c r="BO70" s="7"/>
      <c r="BP70" s="7"/>
      <c r="BQ70" s="7"/>
      <c r="BR70" s="7"/>
      <c r="BS70" s="7"/>
      <c r="BT70" s="7"/>
      <c r="BU70" s="7"/>
      <c r="BV70" s="7"/>
      <c r="BW70" s="7"/>
      <c r="BX70" s="7"/>
      <c r="BY70" s="7"/>
      <c r="BZ70" s="7"/>
      <c r="CA70" s="7"/>
      <c r="CB70" s="7"/>
      <c r="CC70" s="7"/>
    </row>
    <row r="71" ht="30.0" customHeight="1">
      <c r="A71" s="2"/>
      <c r="B71" s="38" t="s">
        <v>14</v>
      </c>
      <c r="C71" s="39" t="s">
        <v>15</v>
      </c>
      <c r="D71" s="40" t="s">
        <v>16</v>
      </c>
      <c r="E71" s="40" t="s">
        <v>17</v>
      </c>
      <c r="F71" s="141"/>
      <c r="G71" s="40" t="s">
        <v>19</v>
      </c>
      <c r="H71" s="40" t="s">
        <v>20</v>
      </c>
      <c r="I71" s="40" t="s">
        <v>21</v>
      </c>
      <c r="J71" s="40" t="s">
        <v>22</v>
      </c>
      <c r="K71" s="141"/>
      <c r="L71" s="40" t="s">
        <v>19</v>
      </c>
      <c r="M71" s="40" t="s">
        <v>24</v>
      </c>
      <c r="N71" s="40" t="s">
        <v>25</v>
      </c>
      <c r="O71" s="41" t="s">
        <v>27</v>
      </c>
      <c r="P71" s="129" t="s">
        <v>28</v>
      </c>
      <c r="Q71" s="40" t="s">
        <v>19</v>
      </c>
      <c r="R71" s="142" t="s">
        <v>30</v>
      </c>
      <c r="S71" s="143" t="s">
        <v>71</v>
      </c>
      <c r="T71" s="142" t="s">
        <v>19</v>
      </c>
      <c r="U71" s="41" t="s">
        <v>32</v>
      </c>
      <c r="V71" s="130" t="s">
        <v>72</v>
      </c>
      <c r="W71" s="142" t="s">
        <v>19</v>
      </c>
      <c r="X71" s="42" t="s">
        <v>34</v>
      </c>
      <c r="Y71" s="42" t="s">
        <v>35</v>
      </c>
      <c r="Z71" s="40" t="s">
        <v>19</v>
      </c>
      <c r="AA71" s="42" t="s">
        <v>36</v>
      </c>
      <c r="AB71" s="42" t="s">
        <v>37</v>
      </c>
      <c r="AC71" s="40" t="s">
        <v>19</v>
      </c>
      <c r="AD71" s="41" t="s">
        <v>60</v>
      </c>
      <c r="AE71" s="42" t="s">
        <v>38</v>
      </c>
      <c r="AF71" s="42" t="s">
        <v>39</v>
      </c>
      <c r="AG71" s="40" t="s">
        <v>19</v>
      </c>
      <c r="AH71" s="15"/>
      <c r="AI71" s="41" t="s">
        <v>61</v>
      </c>
      <c r="AJ71" s="42" t="s">
        <v>40</v>
      </c>
      <c r="AK71" s="42" t="s">
        <v>41</v>
      </c>
      <c r="AL71" s="40" t="s">
        <v>19</v>
      </c>
      <c r="AM71" s="124"/>
      <c r="AN71" s="41" t="s">
        <v>73</v>
      </c>
      <c r="AO71" s="42" t="s">
        <v>40</v>
      </c>
      <c r="AP71" s="42" t="s">
        <v>41</v>
      </c>
      <c r="AQ71" s="40" t="s">
        <v>19</v>
      </c>
      <c r="AR71" s="5"/>
      <c r="AS71" s="41" t="s">
        <v>74</v>
      </c>
      <c r="AT71" s="42" t="s">
        <v>44</v>
      </c>
      <c r="AU71" s="42" t="s">
        <v>75</v>
      </c>
      <c r="AV71" s="40" t="s">
        <v>19</v>
      </c>
      <c r="AW71" s="5"/>
      <c r="AX71" s="154" t="s">
        <v>46</v>
      </c>
      <c r="AY71" s="154" t="s">
        <v>76</v>
      </c>
      <c r="AZ71" s="155" t="s">
        <v>19</v>
      </c>
      <c r="BA71" s="5"/>
      <c r="BB71" s="5"/>
      <c r="BC71" s="5"/>
      <c r="BD71" s="5"/>
      <c r="BE71" s="9"/>
      <c r="BF71" s="46"/>
      <c r="BG71" s="46"/>
      <c r="BH71" s="46"/>
      <c r="BI71" s="46"/>
      <c r="BJ71" s="46"/>
      <c r="BK71" s="47"/>
      <c r="BL71" s="48"/>
      <c r="BM71" s="48"/>
      <c r="BR71" s="7"/>
      <c r="BS71" s="7"/>
      <c r="BT71" s="7"/>
      <c r="BU71" s="7"/>
      <c r="BV71" s="7"/>
      <c r="BW71" s="7"/>
      <c r="BX71" s="7"/>
      <c r="BY71" s="7"/>
      <c r="BZ71" s="7"/>
      <c r="CA71" s="7"/>
      <c r="CB71" s="7"/>
      <c r="CC71" s="7"/>
    </row>
    <row r="72" ht="30.0" customHeight="1">
      <c r="A72" s="2"/>
      <c r="C72" s="28"/>
      <c r="D72" s="49"/>
      <c r="E72" s="49"/>
      <c r="F72" s="141"/>
      <c r="G72" s="49"/>
      <c r="H72" s="49"/>
      <c r="I72" s="49"/>
      <c r="J72" s="49"/>
      <c r="K72" s="141"/>
      <c r="L72" s="49"/>
      <c r="M72" s="49"/>
      <c r="N72" s="49"/>
      <c r="O72" s="49"/>
      <c r="P72" s="49"/>
      <c r="Q72" s="49"/>
      <c r="R72" s="49"/>
      <c r="S72" s="49"/>
      <c r="T72" s="49"/>
      <c r="U72" s="49"/>
      <c r="V72" s="49"/>
      <c r="W72" s="49"/>
      <c r="X72" s="49"/>
      <c r="Y72" s="49"/>
      <c r="Z72" s="49"/>
      <c r="AA72" s="49"/>
      <c r="AB72" s="49"/>
      <c r="AC72" s="49"/>
      <c r="AD72" s="49"/>
      <c r="AE72" s="49"/>
      <c r="AF72" s="49"/>
      <c r="AG72" s="49"/>
      <c r="AH72" s="15"/>
      <c r="AI72" s="49"/>
      <c r="AJ72" s="49"/>
      <c r="AK72" s="49"/>
      <c r="AL72" s="49"/>
      <c r="AM72" s="124"/>
      <c r="AN72" s="49"/>
      <c r="AO72" s="49"/>
      <c r="AP72" s="49"/>
      <c r="AQ72" s="49"/>
      <c r="AR72" s="5"/>
      <c r="AS72" s="49"/>
      <c r="AT72" s="49"/>
      <c r="AU72" s="49"/>
      <c r="AV72" s="49"/>
      <c r="AW72" s="5"/>
      <c r="AX72" s="49"/>
      <c r="AY72" s="49"/>
      <c r="AZ72" s="49"/>
      <c r="BA72" s="5"/>
      <c r="BB72" s="5"/>
      <c r="BC72" s="5"/>
      <c r="BD72" s="5"/>
      <c r="BE72" s="50"/>
      <c r="BF72" s="51"/>
      <c r="BG72" s="51"/>
      <c r="BH72" s="51"/>
      <c r="BI72" s="51"/>
      <c r="BJ72" s="51"/>
      <c r="BK72" s="52">
        <v>18.0</v>
      </c>
      <c r="BL72" s="52">
        <v>25.0</v>
      </c>
      <c r="BM72" s="52">
        <v>2.0</v>
      </c>
      <c r="BN72" s="52">
        <v>9.0</v>
      </c>
      <c r="BO72" s="52">
        <v>16.0</v>
      </c>
      <c r="BP72" s="52">
        <v>23.0</v>
      </c>
      <c r="BQ72" s="52">
        <v>30.0</v>
      </c>
      <c r="BR72" s="7"/>
      <c r="BS72" s="7"/>
      <c r="BT72" s="7"/>
      <c r="BU72" s="7"/>
      <c r="BV72" s="7"/>
      <c r="BW72" s="7"/>
      <c r="BX72" s="7"/>
      <c r="BY72" s="7"/>
      <c r="BZ72" s="7"/>
      <c r="CA72" s="7"/>
      <c r="CB72" s="7"/>
      <c r="CC72" s="7"/>
    </row>
    <row r="73" ht="51.75" customHeight="1">
      <c r="A73" s="2"/>
      <c r="B73" s="53" t="s">
        <v>77</v>
      </c>
      <c r="C73" s="54" t="s">
        <v>15</v>
      </c>
      <c r="D73" s="55">
        <v>85000.0</v>
      </c>
      <c r="E73" s="55">
        <v>2606.0</v>
      </c>
      <c r="F73" s="56"/>
      <c r="G73" s="56">
        <f t="shared" ref="G73:G75" si="59">E73/D73</f>
        <v>0.03065882353</v>
      </c>
      <c r="H73" s="95">
        <v>1.76</v>
      </c>
      <c r="I73" s="55">
        <v>85000.0</v>
      </c>
      <c r="J73" s="55">
        <v>19114.0</v>
      </c>
      <c r="K73" s="56"/>
      <c r="L73" s="56">
        <f t="shared" ref="L73:L75" si="60">J73/I73</f>
        <v>0.2248705882</v>
      </c>
      <c r="M73" s="57">
        <v>3.29</v>
      </c>
      <c r="N73" s="55">
        <f t="shared" ref="N73:N75" si="61">I73</f>
        <v>85000</v>
      </c>
      <c r="O73" s="64">
        <v>71223.0</v>
      </c>
      <c r="P73" s="58">
        <v>2.87</v>
      </c>
      <c r="Q73" s="56">
        <f t="shared" ref="Q73:Q75" si="62">O73/N73</f>
        <v>0.8379176471</v>
      </c>
      <c r="R73" s="96">
        <v>19271.0</v>
      </c>
      <c r="S73" s="59">
        <v>3.25</v>
      </c>
      <c r="T73" s="132">
        <f t="shared" ref="T73:T75" si="63">R73/N73</f>
        <v>0.2267176471</v>
      </c>
      <c r="U73" s="96">
        <v>22359.0</v>
      </c>
      <c r="V73" s="59">
        <v>3.06</v>
      </c>
      <c r="W73" s="132">
        <f t="shared" ref="W73:W75" si="64">U73/N73</f>
        <v>0.2630470588</v>
      </c>
      <c r="X73" s="64">
        <v>24629.0</v>
      </c>
      <c r="Y73" s="133">
        <v>2.68</v>
      </c>
      <c r="Z73" s="132">
        <f t="shared" ref="Z73:Z75" si="65">X73/N73</f>
        <v>0.2897529412</v>
      </c>
      <c r="AA73" s="64">
        <v>16838.0</v>
      </c>
      <c r="AB73" s="133">
        <v>3.91</v>
      </c>
      <c r="AC73" s="132">
        <f t="shared" ref="AC73:AC75" si="66">AA73/$N73</f>
        <v>0.1980941176</v>
      </c>
      <c r="AD73" s="64">
        <v>85000.0</v>
      </c>
      <c r="AE73" s="64">
        <v>27961.0</v>
      </c>
      <c r="AF73" s="133">
        <v>4.34</v>
      </c>
      <c r="AG73" s="132">
        <f t="shared" ref="AG73:AG75" si="67">AE73/$N73</f>
        <v>0.3289529412</v>
      </c>
      <c r="AH73" s="15"/>
      <c r="AI73" s="64">
        <v>85000.0</v>
      </c>
      <c r="AJ73" s="64">
        <v>36384.0</v>
      </c>
      <c r="AK73" s="133">
        <v>5.65</v>
      </c>
      <c r="AL73" s="132">
        <f>AJ73/$N73</f>
        <v>0.4280470588</v>
      </c>
      <c r="AM73" s="124"/>
      <c r="AN73" s="64">
        <v>85000.0</v>
      </c>
      <c r="AO73" s="64">
        <v>25307.0</v>
      </c>
      <c r="AP73" s="133">
        <v>7.03</v>
      </c>
      <c r="AQ73" s="132">
        <f>AO73/$N73</f>
        <v>0.2977294118</v>
      </c>
      <c r="AR73" s="5"/>
      <c r="AS73" s="64">
        <v>85000.0</v>
      </c>
      <c r="AT73" s="64">
        <v>19173.0</v>
      </c>
      <c r="AU73" s="133">
        <v>7.76</v>
      </c>
      <c r="AV73" s="132">
        <f>AT73/$N73</f>
        <v>0.2255647059</v>
      </c>
      <c r="AW73" s="5"/>
      <c r="AX73" s="134">
        <v>22305.0</v>
      </c>
      <c r="AY73" s="135">
        <v>6.26</v>
      </c>
      <c r="AZ73" s="136">
        <f>AX73/$N73</f>
        <v>0.2624117647</v>
      </c>
      <c r="BA73" s="5"/>
      <c r="BB73" s="5"/>
      <c r="BC73" s="5"/>
      <c r="BD73" s="5"/>
      <c r="BE73" s="60"/>
      <c r="BF73" s="61"/>
      <c r="BG73" s="61"/>
      <c r="BH73" s="61"/>
      <c r="BI73" s="61"/>
      <c r="BJ73" s="61"/>
      <c r="BK73" s="62"/>
      <c r="BL73" s="62"/>
      <c r="BM73" s="62"/>
      <c r="BN73" s="62"/>
      <c r="BO73" s="62"/>
      <c r="BP73" s="62"/>
      <c r="BQ73" s="62"/>
      <c r="BR73" s="62"/>
      <c r="BS73" s="62"/>
      <c r="BT73" s="62"/>
      <c r="BU73" s="62"/>
      <c r="BV73" s="62"/>
      <c r="BW73" s="62"/>
      <c r="BX73" s="62"/>
      <c r="BY73" s="62"/>
      <c r="BZ73" s="62"/>
      <c r="CA73" s="62"/>
      <c r="CB73" s="62"/>
      <c r="CC73" s="62"/>
    </row>
    <row r="74" ht="51.75" customHeight="1">
      <c r="A74" s="2"/>
      <c r="B74" s="108"/>
      <c r="C74" s="54" t="s">
        <v>68</v>
      </c>
      <c r="D74" s="55">
        <v>1220000.0</v>
      </c>
      <c r="E74" s="55">
        <v>9273.0</v>
      </c>
      <c r="F74" s="56"/>
      <c r="G74" s="56">
        <f t="shared" si="59"/>
        <v>0.007600819672</v>
      </c>
      <c r="H74" s="95">
        <v>2.36</v>
      </c>
      <c r="I74" s="55">
        <v>1220000.0</v>
      </c>
      <c r="J74" s="55">
        <v>12993.0</v>
      </c>
      <c r="K74" s="56"/>
      <c r="L74" s="56">
        <f t="shared" si="60"/>
        <v>0.01065</v>
      </c>
      <c r="M74" s="57">
        <v>2.06</v>
      </c>
      <c r="N74" s="55">
        <f t="shared" si="61"/>
        <v>1220000</v>
      </c>
      <c r="O74" s="64">
        <v>13140.0</v>
      </c>
      <c r="P74" s="58">
        <v>2.03</v>
      </c>
      <c r="Q74" s="56">
        <f t="shared" si="62"/>
        <v>0.0107704918</v>
      </c>
      <c r="R74" s="96">
        <v>11785.0</v>
      </c>
      <c r="S74" s="59">
        <v>2.25</v>
      </c>
      <c r="T74" s="132">
        <f t="shared" si="63"/>
        <v>0.009659836066</v>
      </c>
      <c r="U74" s="96">
        <v>12013.0</v>
      </c>
      <c r="V74" s="59">
        <v>2.3</v>
      </c>
      <c r="W74" s="132">
        <f t="shared" si="64"/>
        <v>0.009846721311</v>
      </c>
      <c r="X74" s="64">
        <v>14087.0</v>
      </c>
      <c r="Y74" s="58">
        <v>1.77</v>
      </c>
      <c r="Z74" s="132">
        <f t="shared" si="65"/>
        <v>0.01154672131</v>
      </c>
      <c r="AA74" s="64">
        <v>10262.0</v>
      </c>
      <c r="AB74" s="58">
        <v>2.27</v>
      </c>
      <c r="AC74" s="132">
        <f t="shared" si="66"/>
        <v>0.00841147541</v>
      </c>
      <c r="AD74" s="64"/>
      <c r="AE74" s="64">
        <v>44135.0</v>
      </c>
      <c r="AF74" s="133">
        <v>4.08</v>
      </c>
      <c r="AG74" s="132">
        <f t="shared" si="67"/>
        <v>0.03617622951</v>
      </c>
      <c r="AH74" s="15"/>
      <c r="AI74" s="64"/>
      <c r="AJ74" s="64"/>
      <c r="AK74" s="133"/>
      <c r="AL74" s="132"/>
      <c r="AM74" s="124"/>
      <c r="AN74" s="64"/>
      <c r="AO74" s="64"/>
      <c r="AP74" s="133"/>
      <c r="AQ74" s="132"/>
      <c r="AR74" s="5"/>
      <c r="AS74" s="64"/>
      <c r="AT74" s="64"/>
      <c r="AU74" s="133"/>
      <c r="AV74" s="132"/>
      <c r="AW74" s="5"/>
      <c r="AX74" s="134"/>
      <c r="AY74" s="135"/>
      <c r="AZ74" s="136"/>
      <c r="BA74" s="5"/>
      <c r="BB74" s="5"/>
      <c r="BC74" s="5"/>
      <c r="BD74" s="5"/>
      <c r="BE74" s="60"/>
      <c r="BF74" s="61"/>
      <c r="BG74" s="61"/>
      <c r="BH74" s="61"/>
      <c r="BI74" s="61"/>
      <c r="BJ74" s="61"/>
      <c r="BK74" s="62"/>
      <c r="BL74" s="62"/>
      <c r="BM74" s="62"/>
      <c r="BN74" s="62"/>
      <c r="BO74" s="62"/>
      <c r="BP74" s="62"/>
      <c r="BQ74" s="62"/>
      <c r="BR74" s="62"/>
      <c r="BS74" s="62"/>
      <c r="BT74" s="62"/>
      <c r="BU74" s="62"/>
      <c r="BV74" s="62"/>
      <c r="BW74" s="62"/>
      <c r="BX74" s="62"/>
      <c r="BY74" s="62"/>
      <c r="BZ74" s="62"/>
      <c r="CA74" s="62"/>
      <c r="CB74" s="62"/>
      <c r="CC74" s="62"/>
    </row>
    <row r="75" ht="51.75" customHeight="1">
      <c r="A75" s="2"/>
      <c r="B75" s="63"/>
      <c r="C75" s="54" t="s">
        <v>49</v>
      </c>
      <c r="D75" s="55">
        <v>89000.0</v>
      </c>
      <c r="E75" s="106">
        <v>57456.0</v>
      </c>
      <c r="F75" s="56"/>
      <c r="G75" s="56">
        <f t="shared" si="59"/>
        <v>0.6455730337</v>
      </c>
      <c r="H75" s="145">
        <v>3.13</v>
      </c>
      <c r="I75" s="55">
        <v>89000.0</v>
      </c>
      <c r="J75" s="55">
        <v>47044.0</v>
      </c>
      <c r="K75" s="56"/>
      <c r="L75" s="56">
        <f t="shared" si="60"/>
        <v>0.5285842697</v>
      </c>
      <c r="M75" s="57">
        <v>3.02</v>
      </c>
      <c r="N75" s="55">
        <f t="shared" si="61"/>
        <v>89000</v>
      </c>
      <c r="O75" s="64">
        <v>47891.0</v>
      </c>
      <c r="P75" s="58">
        <v>2.96</v>
      </c>
      <c r="Q75" s="56">
        <f t="shared" si="62"/>
        <v>0.5381011236</v>
      </c>
      <c r="R75" s="96">
        <v>45961.0</v>
      </c>
      <c r="S75" s="59">
        <v>3.03</v>
      </c>
      <c r="T75" s="132">
        <f t="shared" si="63"/>
        <v>0.5164157303</v>
      </c>
      <c r="U75" s="96">
        <v>53254.0</v>
      </c>
      <c r="V75" s="59">
        <v>2.9</v>
      </c>
      <c r="W75" s="132">
        <f t="shared" si="64"/>
        <v>0.5983595506</v>
      </c>
      <c r="X75" s="64">
        <v>63451.0</v>
      </c>
      <c r="Y75" s="58">
        <v>2.38</v>
      </c>
      <c r="Z75" s="132">
        <f t="shared" si="65"/>
        <v>0.7129325843</v>
      </c>
      <c r="AA75" s="64">
        <v>65000.0</v>
      </c>
      <c r="AB75" s="58">
        <v>2.24</v>
      </c>
      <c r="AC75" s="132">
        <f t="shared" si="66"/>
        <v>0.7303370787</v>
      </c>
      <c r="AD75" s="64">
        <v>89000.0</v>
      </c>
      <c r="AE75" s="64">
        <v>16630.0</v>
      </c>
      <c r="AF75" s="133">
        <v>3.5</v>
      </c>
      <c r="AG75" s="132">
        <f t="shared" si="67"/>
        <v>0.1868539326</v>
      </c>
      <c r="AH75" s="15"/>
      <c r="AI75" s="64"/>
      <c r="AJ75" s="64"/>
      <c r="AK75" s="133"/>
      <c r="AL75" s="132"/>
      <c r="AM75" s="124"/>
      <c r="AN75" s="64">
        <v>89000.0</v>
      </c>
      <c r="AO75" s="64">
        <v>1260.0</v>
      </c>
      <c r="AP75" s="133">
        <v>2.55</v>
      </c>
      <c r="AQ75" s="132">
        <f>AO75/$N75</f>
        <v>0.01415730337</v>
      </c>
      <c r="AR75" s="5"/>
      <c r="AS75" s="64"/>
      <c r="AT75" s="64"/>
      <c r="AU75" s="133"/>
      <c r="AV75" s="132"/>
      <c r="AW75" s="5"/>
      <c r="AX75" s="134">
        <v>1872.0</v>
      </c>
      <c r="AY75" s="135">
        <v>1.76</v>
      </c>
      <c r="AZ75" s="136"/>
      <c r="BA75" s="5"/>
      <c r="BB75" s="5"/>
      <c r="BC75" s="5"/>
      <c r="BD75" s="5"/>
      <c r="BE75" s="60"/>
      <c r="BF75" s="61"/>
      <c r="BG75" s="61"/>
      <c r="BH75" s="61"/>
      <c r="BI75" s="61"/>
      <c r="BJ75" s="61"/>
      <c r="BK75" s="7"/>
      <c r="BL75" s="7"/>
      <c r="BM75" s="7"/>
      <c r="BN75" s="7"/>
      <c r="BO75" s="7"/>
      <c r="BP75" s="7"/>
      <c r="BQ75" s="7"/>
      <c r="BR75" s="7"/>
      <c r="BS75" s="7"/>
      <c r="BT75" s="7"/>
      <c r="BU75" s="7"/>
      <c r="BV75" s="7"/>
      <c r="BW75" s="7"/>
      <c r="BX75" s="7"/>
      <c r="BY75" s="7"/>
      <c r="BZ75" s="7"/>
      <c r="CA75" s="7"/>
      <c r="CB75" s="7"/>
      <c r="CC75" s="7"/>
    </row>
    <row r="76" ht="26.25" customHeight="1">
      <c r="A76" s="2"/>
      <c r="B76" s="65"/>
      <c r="C76" s="48"/>
      <c r="D76" s="48"/>
      <c r="E76" s="66"/>
      <c r="F76" s="67"/>
      <c r="G76" s="67"/>
      <c r="H76" s="67"/>
      <c r="I76" s="68"/>
      <c r="J76" s="68"/>
      <c r="K76" s="68"/>
      <c r="L76" s="68"/>
      <c r="M76" s="68"/>
      <c r="N76" s="68"/>
      <c r="O76" s="68"/>
      <c r="P76" s="137"/>
      <c r="Q76" s="68"/>
      <c r="R76" s="146"/>
      <c r="S76" s="146"/>
      <c r="T76" s="146"/>
      <c r="U76" s="146"/>
      <c r="V76" s="146"/>
      <c r="W76" s="146"/>
      <c r="X76" s="68"/>
      <c r="Y76" s="68"/>
      <c r="Z76" s="68"/>
      <c r="AA76" s="70"/>
      <c r="AB76" s="70"/>
      <c r="AC76" s="70"/>
      <c r="AD76" s="70"/>
      <c r="AE76" s="70"/>
      <c r="AF76" s="70"/>
      <c r="AG76" s="70"/>
      <c r="AH76" s="15"/>
      <c r="AI76" s="70"/>
      <c r="AJ76" s="70"/>
      <c r="AK76" s="70"/>
      <c r="AL76" s="70"/>
      <c r="AM76" s="124"/>
      <c r="AN76" s="70"/>
      <c r="AO76" s="70"/>
      <c r="AP76" s="70"/>
      <c r="AQ76" s="70"/>
      <c r="AR76" s="5"/>
      <c r="AS76" s="70"/>
      <c r="AT76" s="70"/>
      <c r="AU76" s="70"/>
      <c r="AV76" s="70"/>
      <c r="AW76" s="5"/>
      <c r="AX76" s="156"/>
      <c r="AY76" s="156"/>
      <c r="AZ76" s="156"/>
      <c r="BA76" s="5"/>
      <c r="BB76" s="5"/>
      <c r="BC76" s="5"/>
      <c r="BD76" s="5"/>
      <c r="BE76" s="2"/>
      <c r="BF76" s="6"/>
      <c r="BG76" s="6"/>
      <c r="BH76" s="6"/>
      <c r="BI76" s="6"/>
      <c r="BJ76" s="6"/>
      <c r="BK76" s="7"/>
      <c r="BL76" s="7"/>
      <c r="BM76" s="7"/>
      <c r="BN76" s="7"/>
      <c r="BO76" s="7"/>
      <c r="BP76" s="7"/>
      <c r="BQ76" s="7"/>
      <c r="BR76" s="7"/>
      <c r="BS76" s="7"/>
      <c r="BT76" s="7"/>
      <c r="BU76" s="7"/>
      <c r="BV76" s="7"/>
      <c r="BW76" s="7"/>
      <c r="BX76" s="7"/>
      <c r="BY76" s="7"/>
      <c r="BZ76" s="7"/>
      <c r="CA76" s="7"/>
      <c r="CB76" s="7"/>
      <c r="CC76" s="7"/>
    </row>
    <row r="77" ht="33.75" customHeight="1">
      <c r="A77" s="72"/>
      <c r="B77" s="112" t="s">
        <v>64</v>
      </c>
      <c r="C77" s="74"/>
      <c r="D77" s="75"/>
      <c r="E77" s="113">
        <f>((sum(E73:E75)-E78)/E78)</f>
        <v>0.1543520245</v>
      </c>
      <c r="F77" s="75"/>
      <c r="G77" s="75"/>
      <c r="H77" s="75"/>
      <c r="I77" s="114"/>
      <c r="J77" s="113">
        <f>((sum(J73:J75)-J78)/J78)</f>
        <v>0.1963934823</v>
      </c>
      <c r="K77" s="114"/>
      <c r="L77" s="114"/>
      <c r="M77" s="138"/>
      <c r="N77" s="114"/>
      <c r="O77" s="114"/>
      <c r="P77" s="139"/>
      <c r="Q77" s="114"/>
      <c r="R77" s="147"/>
      <c r="S77" s="148"/>
      <c r="T77" s="147"/>
      <c r="U77" s="147"/>
      <c r="V77" s="148"/>
      <c r="W77" s="147"/>
      <c r="X77" s="114"/>
      <c r="Y77" s="114"/>
      <c r="Z77" s="114"/>
      <c r="AA77" s="82"/>
      <c r="AB77" s="82"/>
      <c r="AC77" s="82"/>
      <c r="AD77" s="82"/>
      <c r="AE77" s="82"/>
      <c r="AF77" s="82"/>
      <c r="AG77" s="82"/>
      <c r="AH77" s="15"/>
      <c r="AI77" s="82"/>
      <c r="AJ77" s="82"/>
      <c r="AK77" s="82"/>
      <c r="AL77" s="82"/>
      <c r="AM77" s="124"/>
      <c r="AN77" s="82"/>
      <c r="AO77" s="82"/>
      <c r="AP77" s="82"/>
      <c r="AQ77" s="82"/>
      <c r="AR77" s="5"/>
      <c r="AS77" s="82"/>
      <c r="AT77" s="82"/>
      <c r="AU77" s="82"/>
      <c r="AV77" s="82"/>
      <c r="AW77" s="5"/>
      <c r="AX77" s="153"/>
      <c r="AY77" s="153"/>
      <c r="AZ77" s="153"/>
      <c r="BA77" s="5"/>
      <c r="BB77" s="5"/>
      <c r="BC77" s="5"/>
      <c r="BD77" s="5"/>
      <c r="BE77" s="72"/>
      <c r="BF77" s="83"/>
      <c r="BG77" s="83"/>
      <c r="BH77" s="83"/>
      <c r="BI77" s="83"/>
      <c r="BJ77" s="83"/>
      <c r="BK77" s="84"/>
      <c r="BL77" s="84"/>
      <c r="BM77" s="84"/>
      <c r="BN77" s="84"/>
      <c r="BO77" s="84"/>
      <c r="BP77" s="84"/>
      <c r="BQ77" s="84"/>
      <c r="BR77" s="84"/>
      <c r="BS77" s="84"/>
      <c r="BT77" s="84"/>
      <c r="BU77" s="84"/>
      <c r="BV77" s="84"/>
      <c r="BW77" s="84"/>
      <c r="BX77" s="84"/>
      <c r="BY77" s="84"/>
      <c r="BZ77" s="84"/>
      <c r="CA77" s="84"/>
      <c r="CB77" s="84"/>
      <c r="CC77" s="84"/>
    </row>
    <row r="78" ht="33.75" customHeight="1">
      <c r="A78" s="72"/>
      <c r="B78" s="73" t="s">
        <v>51</v>
      </c>
      <c r="C78" s="74"/>
      <c r="D78" s="75"/>
      <c r="E78" s="76">
        <v>60064.0</v>
      </c>
      <c r="F78" s="79"/>
      <c r="G78" s="79"/>
      <c r="H78" s="79">
        <v>3.07</v>
      </c>
      <c r="I78" s="75"/>
      <c r="J78" s="76">
        <v>66158.0</v>
      </c>
      <c r="K78" s="79"/>
      <c r="L78" s="79"/>
      <c r="M78" s="160">
        <v>3.1</v>
      </c>
      <c r="N78" s="81"/>
      <c r="O78" s="150">
        <f>sum(O73:O75)</f>
        <v>132254</v>
      </c>
      <c r="P78" s="140"/>
      <c r="Q78" s="81"/>
      <c r="R78" s="150">
        <f>sum(R73:R75)</f>
        <v>77017</v>
      </c>
      <c r="S78" s="151"/>
      <c r="T78" s="152"/>
      <c r="U78" s="150">
        <f>sum(U73:U75)</f>
        <v>87626</v>
      </c>
      <c r="V78" s="140"/>
      <c r="W78" s="81"/>
      <c r="X78" s="150">
        <f>sum(X73:X75)</f>
        <v>102167</v>
      </c>
      <c r="Y78" s="81"/>
      <c r="Z78" s="75"/>
      <c r="AA78" s="150">
        <f>sum(AA73:AA75)</f>
        <v>92100</v>
      </c>
      <c r="AB78" s="140"/>
      <c r="AC78" s="81"/>
      <c r="AD78" s="81"/>
      <c r="AE78" s="150">
        <f>sum(AE73:AE75)</f>
        <v>88726</v>
      </c>
      <c r="AF78" s="82"/>
      <c r="AG78" s="82"/>
      <c r="AH78" s="15"/>
      <c r="AI78" s="82"/>
      <c r="AJ78" s="150">
        <f>sum(AJ73:AJ75)</f>
        <v>36384</v>
      </c>
      <c r="AK78" s="82"/>
      <c r="AL78" s="82"/>
      <c r="AM78" s="124"/>
      <c r="AN78" s="82"/>
      <c r="AO78" s="150">
        <f>sum(AO73:AO75)</f>
        <v>26567</v>
      </c>
      <c r="AP78" s="82"/>
      <c r="AQ78" s="82"/>
      <c r="AR78" s="5"/>
      <c r="AS78" s="82"/>
      <c r="AT78" s="150">
        <f>sum(AT73:AT75)</f>
        <v>19173</v>
      </c>
      <c r="AU78" s="82"/>
      <c r="AV78" s="82"/>
      <c r="AW78" s="5"/>
      <c r="AX78" s="157">
        <f>sum(AX88,AX98,AX108,AX118,AX128,AX138)</f>
        <v>0</v>
      </c>
      <c r="AY78" s="153"/>
      <c r="AZ78" s="153"/>
      <c r="BA78" s="5"/>
      <c r="BB78" s="5"/>
      <c r="BC78" s="5"/>
      <c r="BD78" s="5"/>
      <c r="BE78" s="72"/>
      <c r="BF78" s="83"/>
      <c r="BG78" s="83"/>
      <c r="BH78" s="83"/>
      <c r="BI78" s="83"/>
      <c r="BJ78" s="83"/>
      <c r="BK78" s="84"/>
      <c r="BL78" s="84"/>
      <c r="BM78" s="84"/>
      <c r="BN78" s="84"/>
      <c r="BO78" s="84"/>
      <c r="BP78" s="84"/>
      <c r="BQ78" s="84"/>
      <c r="BR78" s="84"/>
      <c r="BS78" s="84"/>
      <c r="BT78" s="84"/>
      <c r="BU78" s="84"/>
      <c r="BV78" s="84"/>
      <c r="BW78" s="84"/>
      <c r="BX78" s="84"/>
      <c r="BY78" s="84"/>
      <c r="BZ78" s="84"/>
      <c r="CA78" s="84"/>
      <c r="CB78" s="84"/>
      <c r="CC78" s="84"/>
    </row>
    <row r="79" ht="15.75" customHeight="1">
      <c r="A79" s="98"/>
      <c r="B79" s="98"/>
      <c r="C79" s="98"/>
      <c r="D79" s="98"/>
      <c r="E79" s="98"/>
      <c r="F79" s="98"/>
      <c r="G79" s="98"/>
      <c r="H79" s="98"/>
      <c r="I79" s="99"/>
      <c r="J79" s="99"/>
      <c r="K79" s="99"/>
      <c r="L79" s="99"/>
      <c r="M79" s="99"/>
      <c r="N79" s="14"/>
      <c r="O79" s="14"/>
      <c r="P79" s="123"/>
      <c r="Q79" s="14"/>
      <c r="R79" s="12"/>
      <c r="S79" s="14"/>
      <c r="T79" s="15"/>
      <c r="U79" s="12"/>
      <c r="V79" s="14"/>
      <c r="W79" s="15"/>
      <c r="X79" s="15"/>
      <c r="Y79" s="15"/>
      <c r="Z79" s="15"/>
      <c r="AA79" s="15"/>
      <c r="AB79" s="15"/>
      <c r="AC79" s="15"/>
      <c r="AD79" s="15"/>
      <c r="AE79" s="15"/>
      <c r="AF79" s="15"/>
      <c r="AG79" s="15"/>
      <c r="AH79" s="15"/>
      <c r="AI79" s="15"/>
      <c r="AJ79" s="15"/>
      <c r="AK79" s="15"/>
      <c r="AL79" s="15"/>
      <c r="AM79" s="124"/>
      <c r="AN79" s="15"/>
      <c r="AO79" s="15"/>
      <c r="AP79" s="15"/>
      <c r="AQ79" s="15"/>
      <c r="AR79" s="5"/>
      <c r="AS79" s="15"/>
      <c r="AT79" s="15"/>
      <c r="AU79" s="15"/>
      <c r="AV79" s="15"/>
      <c r="AW79" s="5"/>
      <c r="AX79" s="5"/>
      <c r="AY79" s="5"/>
      <c r="AZ79" s="5"/>
      <c r="BA79" s="5"/>
      <c r="BB79" s="5"/>
      <c r="BC79" s="5"/>
      <c r="BD79" s="5"/>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row>
    <row r="80" ht="15.75" customHeight="1">
      <c r="A80" s="98"/>
      <c r="B80" s="98"/>
      <c r="C80" s="98"/>
      <c r="D80" s="98"/>
      <c r="E80" s="98"/>
      <c r="F80" s="98"/>
      <c r="G80" s="98"/>
      <c r="H80" s="98"/>
      <c r="I80" s="99"/>
      <c r="J80" s="99"/>
      <c r="K80" s="99"/>
      <c r="L80" s="99"/>
      <c r="M80" s="99"/>
      <c r="N80" s="14"/>
      <c r="O80" s="14"/>
      <c r="P80" s="123"/>
      <c r="Q80" s="14"/>
      <c r="R80" s="12"/>
      <c r="S80" s="14"/>
      <c r="T80" s="15"/>
      <c r="U80" s="12"/>
      <c r="V80" s="14"/>
      <c r="W80" s="15"/>
      <c r="X80" s="15"/>
      <c r="Y80" s="15"/>
      <c r="Z80" s="15"/>
      <c r="AA80" s="15"/>
      <c r="AB80" s="15"/>
      <c r="AC80" s="15"/>
      <c r="AD80" s="15"/>
      <c r="AE80" s="15"/>
      <c r="AF80" s="15"/>
      <c r="AG80" s="15"/>
      <c r="AH80" s="15"/>
      <c r="AI80" s="15"/>
      <c r="AJ80" s="15"/>
      <c r="AK80" s="15"/>
      <c r="AL80" s="15"/>
      <c r="AM80" s="124"/>
      <c r="AN80" s="15"/>
      <c r="AO80" s="15"/>
      <c r="AP80" s="15"/>
      <c r="AQ80" s="15"/>
      <c r="AR80" s="5"/>
      <c r="AS80" s="15"/>
      <c r="AT80" s="15"/>
      <c r="AU80" s="15"/>
      <c r="AV80" s="15"/>
      <c r="AW80" s="5"/>
      <c r="AX80" s="5"/>
      <c r="AY80" s="5"/>
      <c r="AZ80" s="5"/>
      <c r="BA80" s="5"/>
      <c r="BB80" s="5"/>
      <c r="BC80" s="5"/>
      <c r="BD80" s="5"/>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row>
    <row r="81" ht="15.75" customHeight="1">
      <c r="A81" s="98"/>
      <c r="B81" s="98"/>
      <c r="C81" s="98"/>
      <c r="D81" s="98"/>
      <c r="E81" s="98"/>
      <c r="F81" s="98"/>
      <c r="G81" s="98"/>
      <c r="H81" s="98"/>
      <c r="I81" s="99"/>
      <c r="J81" s="99"/>
      <c r="K81" s="99"/>
      <c r="L81" s="99"/>
      <c r="M81" s="99"/>
      <c r="N81" s="14"/>
      <c r="O81" s="14"/>
      <c r="P81" s="123"/>
      <c r="Q81" s="14"/>
      <c r="R81" s="12"/>
      <c r="S81" s="14"/>
      <c r="T81" s="15"/>
      <c r="U81" s="12"/>
      <c r="V81" s="14"/>
      <c r="W81" s="15"/>
      <c r="X81" s="15"/>
      <c r="Y81" s="15"/>
      <c r="Z81" s="15"/>
      <c r="AA81" s="15"/>
      <c r="AB81" s="15"/>
      <c r="AC81" s="15"/>
      <c r="AD81" s="15"/>
      <c r="AE81" s="15"/>
      <c r="AF81" s="15"/>
      <c r="AG81" s="15"/>
      <c r="AH81" s="15"/>
      <c r="AI81" s="15"/>
      <c r="AJ81" s="15"/>
      <c r="AK81" s="15"/>
      <c r="AL81" s="15"/>
      <c r="AM81" s="124"/>
      <c r="AN81" s="15"/>
      <c r="AO81" s="15"/>
      <c r="AP81" s="15"/>
      <c r="AQ81" s="15"/>
      <c r="AR81" s="5"/>
      <c r="AS81" s="15"/>
      <c r="AT81" s="15"/>
      <c r="AU81" s="15"/>
      <c r="AV81" s="15"/>
      <c r="AW81" s="5"/>
      <c r="AX81" s="5"/>
      <c r="AY81" s="5"/>
      <c r="AZ81" s="5"/>
      <c r="BA81" s="5"/>
      <c r="BB81" s="5"/>
      <c r="BC81" s="5"/>
      <c r="BD81" s="5"/>
      <c r="BE81" s="98"/>
      <c r="BF81" s="98"/>
      <c r="BG81" s="98"/>
      <c r="BH81" s="98"/>
      <c r="BI81" s="98"/>
      <c r="BJ81" s="98"/>
      <c r="BK81" s="98"/>
      <c r="BL81" s="98"/>
      <c r="BM81" s="98"/>
      <c r="BN81" s="98"/>
      <c r="BO81" s="98"/>
      <c r="BP81" s="98"/>
      <c r="BQ81" s="98"/>
      <c r="BR81" s="98"/>
      <c r="BS81" s="98"/>
      <c r="BT81" s="98"/>
      <c r="BU81" s="98"/>
      <c r="BV81" s="98"/>
      <c r="BW81" s="98"/>
      <c r="BX81" s="98"/>
      <c r="BY81" s="98"/>
      <c r="BZ81" s="98"/>
      <c r="CA81" s="98"/>
      <c r="CB81" s="98"/>
      <c r="CC81" s="98"/>
    </row>
    <row r="82" ht="15.75" customHeight="1">
      <c r="A82" s="98"/>
      <c r="B82" s="98"/>
      <c r="C82" s="98"/>
      <c r="D82" s="98"/>
      <c r="E82" s="98"/>
      <c r="F82" s="98"/>
      <c r="G82" s="98"/>
      <c r="H82" s="98"/>
      <c r="I82" s="99"/>
      <c r="J82" s="99"/>
      <c r="K82" s="99"/>
      <c r="L82" s="99"/>
      <c r="M82" s="99"/>
      <c r="N82" s="14"/>
      <c r="O82" s="14"/>
      <c r="P82" s="123"/>
      <c r="Q82" s="14"/>
      <c r="R82" s="12"/>
      <c r="S82" s="14"/>
      <c r="T82" s="15"/>
      <c r="U82" s="12"/>
      <c r="V82" s="14"/>
      <c r="W82" s="15"/>
      <c r="X82" s="15"/>
      <c r="Y82" s="15"/>
      <c r="Z82" s="15"/>
      <c r="AA82" s="15"/>
      <c r="AB82" s="15"/>
      <c r="AC82" s="15"/>
      <c r="AD82" s="15"/>
      <c r="AE82" s="15"/>
      <c r="AF82" s="15"/>
      <c r="AG82" s="15"/>
      <c r="AH82" s="15"/>
      <c r="AI82" s="15"/>
      <c r="AJ82" s="15"/>
      <c r="AK82" s="15"/>
      <c r="AL82" s="15"/>
      <c r="AM82" s="124"/>
      <c r="AN82" s="15"/>
      <c r="AO82" s="15"/>
      <c r="AP82" s="15"/>
      <c r="AQ82" s="15"/>
      <c r="AR82" s="5"/>
      <c r="AS82" s="15"/>
      <c r="AT82" s="15"/>
      <c r="AU82" s="15"/>
      <c r="AV82" s="15"/>
      <c r="AW82" s="5"/>
      <c r="AX82" s="5"/>
      <c r="AY82" s="5"/>
      <c r="AZ82" s="5"/>
      <c r="BA82" s="5"/>
      <c r="BB82" s="5"/>
      <c r="BC82" s="5"/>
      <c r="BD82" s="5"/>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row>
    <row r="83" ht="15.75" customHeight="1">
      <c r="A83" s="98"/>
      <c r="B83" s="98"/>
      <c r="C83" s="98"/>
      <c r="D83" s="98"/>
      <c r="E83" s="98"/>
      <c r="F83" s="98"/>
      <c r="G83" s="98"/>
      <c r="H83" s="98"/>
      <c r="I83" s="99"/>
      <c r="J83" s="99"/>
      <c r="K83" s="99"/>
      <c r="L83" s="99"/>
      <c r="M83" s="99"/>
      <c r="N83" s="14"/>
      <c r="O83" s="14"/>
      <c r="P83" s="123"/>
      <c r="Q83" s="14"/>
      <c r="R83" s="12"/>
      <c r="S83" s="14"/>
      <c r="T83" s="15"/>
      <c r="U83" s="12"/>
      <c r="V83" s="14"/>
      <c r="W83" s="15"/>
      <c r="X83" s="15"/>
      <c r="Y83" s="15"/>
      <c r="Z83" s="15"/>
      <c r="AA83" s="15"/>
      <c r="AB83" s="15"/>
      <c r="AC83" s="15"/>
      <c r="AD83" s="15"/>
      <c r="AE83" s="15"/>
      <c r="AF83" s="15"/>
      <c r="AG83" s="15"/>
      <c r="AH83" s="15"/>
      <c r="AI83" s="15"/>
      <c r="AJ83" s="15"/>
      <c r="AK83" s="15"/>
      <c r="AL83" s="15"/>
      <c r="AM83" s="124"/>
      <c r="AN83" s="15"/>
      <c r="AO83" s="15"/>
      <c r="AP83" s="15"/>
      <c r="AQ83" s="15"/>
      <c r="AR83" s="5"/>
      <c r="AS83" s="15"/>
      <c r="AT83" s="15"/>
      <c r="AU83" s="15"/>
      <c r="AV83" s="15"/>
      <c r="AW83" s="5"/>
      <c r="AX83" s="5"/>
      <c r="AY83" s="5"/>
      <c r="AZ83" s="5"/>
      <c r="BA83" s="5"/>
      <c r="BB83" s="5"/>
      <c r="BC83" s="5"/>
      <c r="BD83" s="5"/>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row>
    <row r="84" ht="15.75" customHeight="1">
      <c r="A84" s="98"/>
      <c r="B84" s="98"/>
      <c r="C84" s="98"/>
      <c r="D84" s="98"/>
      <c r="E84" s="98"/>
      <c r="F84" s="98"/>
      <c r="G84" s="98"/>
      <c r="H84" s="98"/>
      <c r="I84" s="99"/>
      <c r="J84" s="99"/>
      <c r="K84" s="99"/>
      <c r="L84" s="99"/>
      <c r="M84" s="99"/>
      <c r="N84" s="14"/>
      <c r="O84" s="14"/>
      <c r="P84" s="123"/>
      <c r="Q84" s="14"/>
      <c r="R84" s="12"/>
      <c r="S84" s="14"/>
      <c r="T84" s="15"/>
      <c r="U84" s="12"/>
      <c r="V84" s="14"/>
      <c r="W84" s="15"/>
      <c r="X84" s="15"/>
      <c r="Y84" s="15"/>
      <c r="Z84" s="15"/>
      <c r="AA84" s="15"/>
      <c r="AB84" s="15"/>
      <c r="AC84" s="15"/>
      <c r="AD84" s="15"/>
      <c r="AE84" s="15"/>
      <c r="AF84" s="15"/>
      <c r="AG84" s="15"/>
      <c r="AH84" s="15"/>
      <c r="AI84" s="15"/>
      <c r="AJ84" s="15"/>
      <c r="AK84" s="15"/>
      <c r="AL84" s="15"/>
      <c r="AM84" s="124"/>
      <c r="AN84" s="15"/>
      <c r="AO84" s="15"/>
      <c r="AP84" s="15"/>
      <c r="AQ84" s="15"/>
      <c r="AR84" s="5"/>
      <c r="AS84" s="15"/>
      <c r="AT84" s="15"/>
      <c r="AU84" s="15"/>
      <c r="AV84" s="15"/>
      <c r="AW84" s="5"/>
      <c r="AX84" s="5"/>
      <c r="AY84" s="5"/>
      <c r="AZ84" s="5"/>
      <c r="BA84" s="5"/>
      <c r="BB84" s="5"/>
      <c r="BC84" s="5"/>
      <c r="BD84" s="5"/>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row>
    <row r="85" ht="15.75" customHeight="1">
      <c r="A85" s="98"/>
      <c r="B85" s="98"/>
      <c r="C85" s="98"/>
      <c r="D85" s="98"/>
      <c r="E85" s="98"/>
      <c r="F85" s="98"/>
      <c r="G85" s="98"/>
      <c r="H85" s="98"/>
      <c r="I85" s="99"/>
      <c r="J85" s="99"/>
      <c r="K85" s="99"/>
      <c r="L85" s="99"/>
      <c r="M85" s="99"/>
      <c r="N85" s="14"/>
      <c r="O85" s="14"/>
      <c r="P85" s="123"/>
      <c r="Q85" s="14"/>
      <c r="R85" s="12"/>
      <c r="S85" s="14"/>
      <c r="T85" s="15"/>
      <c r="U85" s="12"/>
      <c r="V85" s="14"/>
      <c r="W85" s="15"/>
      <c r="X85" s="15"/>
      <c r="Y85" s="15"/>
      <c r="Z85" s="15"/>
      <c r="AA85" s="15"/>
      <c r="AB85" s="15"/>
      <c r="AC85" s="15"/>
      <c r="AD85" s="15"/>
      <c r="AE85" s="15"/>
      <c r="AF85" s="15"/>
      <c r="AG85" s="15"/>
      <c r="AH85" s="15"/>
      <c r="AI85" s="15"/>
      <c r="AJ85" s="15"/>
      <c r="AK85" s="15"/>
      <c r="AL85" s="15"/>
      <c r="AM85" s="124"/>
      <c r="AN85" s="15"/>
      <c r="AO85" s="15"/>
      <c r="AP85" s="15"/>
      <c r="AQ85" s="15"/>
      <c r="AR85" s="5"/>
      <c r="AS85" s="15"/>
      <c r="AT85" s="15"/>
      <c r="AU85" s="15"/>
      <c r="AV85" s="15"/>
      <c r="AW85" s="5"/>
      <c r="AX85" s="5"/>
      <c r="AY85" s="5"/>
      <c r="AZ85" s="5"/>
      <c r="BA85" s="5"/>
      <c r="BB85" s="5"/>
      <c r="BC85" s="5"/>
      <c r="BD85" s="5"/>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row>
    <row r="86" ht="15.75" customHeight="1">
      <c r="A86" s="98"/>
      <c r="B86" s="98"/>
      <c r="C86" s="98"/>
      <c r="D86" s="98"/>
      <c r="E86" s="98"/>
      <c r="F86" s="98"/>
      <c r="G86" s="98"/>
      <c r="H86" s="98"/>
      <c r="I86" s="99"/>
      <c r="J86" s="99"/>
      <c r="K86" s="99"/>
      <c r="L86" s="99"/>
      <c r="M86" s="99"/>
      <c r="N86" s="14"/>
      <c r="O86" s="14"/>
      <c r="P86" s="123"/>
      <c r="Q86" s="14"/>
      <c r="R86" s="12"/>
      <c r="S86" s="14"/>
      <c r="T86" s="15"/>
      <c r="U86" s="12"/>
      <c r="V86" s="14"/>
      <c r="W86" s="15"/>
      <c r="X86" s="15"/>
      <c r="Y86" s="15"/>
      <c r="Z86" s="15"/>
      <c r="AA86" s="15"/>
      <c r="AB86" s="15"/>
      <c r="AC86" s="15"/>
      <c r="AD86" s="15"/>
      <c r="AE86" s="15"/>
      <c r="AF86" s="15"/>
      <c r="AG86" s="15"/>
      <c r="AH86" s="15"/>
      <c r="AI86" s="15"/>
      <c r="AJ86" s="15"/>
      <c r="AK86" s="15"/>
      <c r="AL86" s="15"/>
      <c r="AM86" s="124"/>
      <c r="AN86" s="15"/>
      <c r="AO86" s="15"/>
      <c r="AP86" s="15"/>
      <c r="AQ86" s="15"/>
      <c r="AR86" s="5"/>
      <c r="AS86" s="15"/>
      <c r="AT86" s="15"/>
      <c r="AU86" s="15"/>
      <c r="AV86" s="15"/>
      <c r="AW86" s="5"/>
      <c r="AX86" s="5"/>
      <c r="AY86" s="5"/>
      <c r="AZ86" s="5"/>
      <c r="BA86" s="5"/>
      <c r="BB86" s="5"/>
      <c r="BC86" s="5"/>
      <c r="BD86" s="5"/>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row>
    <row r="87" ht="15.75" customHeight="1">
      <c r="A87" s="98"/>
      <c r="B87" s="98"/>
      <c r="C87" s="98"/>
      <c r="D87" s="98"/>
      <c r="E87" s="98"/>
      <c r="F87" s="98"/>
      <c r="G87" s="98"/>
      <c r="H87" s="98"/>
      <c r="I87" s="99"/>
      <c r="J87" s="99"/>
      <c r="K87" s="99"/>
      <c r="L87" s="99"/>
      <c r="M87" s="99"/>
      <c r="N87" s="14"/>
      <c r="O87" s="14"/>
      <c r="P87" s="123"/>
      <c r="Q87" s="14"/>
      <c r="R87" s="12"/>
      <c r="S87" s="14"/>
      <c r="T87" s="15"/>
      <c r="U87" s="12"/>
      <c r="V87" s="14"/>
      <c r="W87" s="15"/>
      <c r="X87" s="15"/>
      <c r="Y87" s="15"/>
      <c r="Z87" s="15"/>
      <c r="AA87" s="15"/>
      <c r="AB87" s="15"/>
      <c r="AC87" s="15"/>
      <c r="AD87" s="15"/>
      <c r="AE87" s="15"/>
      <c r="AF87" s="15"/>
      <c r="AG87" s="15"/>
      <c r="AH87" s="15"/>
      <c r="AI87" s="15"/>
      <c r="AJ87" s="15"/>
      <c r="AK87" s="15"/>
      <c r="AL87" s="15"/>
      <c r="AM87" s="124"/>
      <c r="AN87" s="15"/>
      <c r="AO87" s="15"/>
      <c r="AP87" s="15"/>
      <c r="AQ87" s="15"/>
      <c r="AR87" s="5"/>
      <c r="AS87" s="15"/>
      <c r="AT87" s="15"/>
      <c r="AU87" s="15"/>
      <c r="AV87" s="15"/>
      <c r="AW87" s="5"/>
      <c r="AX87" s="5"/>
      <c r="AY87" s="5"/>
      <c r="AZ87" s="5"/>
      <c r="BA87" s="5"/>
      <c r="BB87" s="5"/>
      <c r="BC87" s="5"/>
      <c r="BD87" s="5"/>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row>
    <row r="88" ht="15.75" customHeight="1">
      <c r="A88" s="98"/>
      <c r="B88" s="98"/>
      <c r="C88" s="98"/>
      <c r="D88" s="98"/>
      <c r="E88" s="98"/>
      <c r="F88" s="98"/>
      <c r="G88" s="98"/>
      <c r="H88" s="98"/>
      <c r="I88" s="99"/>
      <c r="J88" s="99"/>
      <c r="K88" s="99"/>
      <c r="L88" s="99"/>
      <c r="M88" s="99"/>
      <c r="N88" s="14"/>
      <c r="O88" s="14"/>
      <c r="P88" s="123"/>
      <c r="Q88" s="14"/>
      <c r="R88" s="12"/>
      <c r="S88" s="14"/>
      <c r="T88" s="15"/>
      <c r="U88" s="12"/>
      <c r="V88" s="14"/>
      <c r="W88" s="15"/>
      <c r="X88" s="15"/>
      <c r="Y88" s="15"/>
      <c r="Z88" s="15"/>
      <c r="AA88" s="15"/>
      <c r="AB88" s="15"/>
      <c r="AC88" s="15"/>
      <c r="AD88" s="15"/>
      <c r="AE88" s="15"/>
      <c r="AF88" s="15"/>
      <c r="AG88" s="15"/>
      <c r="AH88" s="15"/>
      <c r="AI88" s="15"/>
      <c r="AJ88" s="15"/>
      <c r="AK88" s="15"/>
      <c r="AL88" s="15"/>
      <c r="AM88" s="124"/>
      <c r="AN88" s="15"/>
      <c r="AO88" s="15"/>
      <c r="AP88" s="15"/>
      <c r="AQ88" s="15"/>
      <c r="AR88" s="5"/>
      <c r="AS88" s="15"/>
      <c r="AT88" s="15"/>
      <c r="AU88" s="15"/>
      <c r="AV88" s="15"/>
      <c r="AW88" s="5"/>
      <c r="AX88" s="161" t="s">
        <v>82</v>
      </c>
      <c r="AY88" s="5"/>
      <c r="AZ88" s="5"/>
      <c r="BA88" s="5"/>
      <c r="BB88" s="5"/>
      <c r="BC88" s="5"/>
      <c r="BD88" s="5"/>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row>
    <row r="89" ht="15.75" customHeight="1">
      <c r="A89" s="98"/>
      <c r="B89" s="98"/>
      <c r="C89" s="98"/>
      <c r="D89" s="98"/>
      <c r="E89" s="98"/>
      <c r="F89" s="98"/>
      <c r="G89" s="98"/>
      <c r="H89" s="98"/>
      <c r="I89" s="99"/>
      <c r="J89" s="99"/>
      <c r="K89" s="99"/>
      <c r="L89" s="99"/>
      <c r="M89" s="99"/>
      <c r="N89" s="14"/>
      <c r="O89" s="14"/>
      <c r="P89" s="123"/>
      <c r="Q89" s="14"/>
      <c r="R89" s="12"/>
      <c r="S89" s="14"/>
      <c r="T89" s="15"/>
      <c r="U89" s="12"/>
      <c r="V89" s="14"/>
      <c r="W89" s="15"/>
      <c r="X89" s="15"/>
      <c r="Y89" s="15"/>
      <c r="Z89" s="15"/>
      <c r="AA89" s="15"/>
      <c r="AB89" s="15"/>
      <c r="AC89" s="15"/>
      <c r="AD89" s="15"/>
      <c r="AE89" s="15"/>
      <c r="AF89" s="15"/>
      <c r="AG89" s="15"/>
      <c r="AH89" s="15"/>
      <c r="AI89" s="15"/>
      <c r="AJ89" s="15"/>
      <c r="AK89" s="15"/>
      <c r="AL89" s="15"/>
      <c r="AM89" s="124"/>
      <c r="AN89" s="15"/>
      <c r="AO89" s="15"/>
      <c r="AP89" s="15"/>
      <c r="AQ89" s="15"/>
      <c r="AR89" s="5"/>
      <c r="AS89" s="15"/>
      <c r="AT89" s="15"/>
      <c r="AU89" s="15"/>
      <c r="AV89" s="15"/>
      <c r="AW89" s="5"/>
      <c r="AX89" s="5"/>
      <c r="AY89" s="5"/>
      <c r="AZ89" s="5"/>
      <c r="BA89" s="5"/>
      <c r="BB89" s="5"/>
      <c r="BC89" s="5"/>
      <c r="BD89" s="5"/>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row>
    <row r="90" ht="15.75" customHeight="1">
      <c r="A90" s="98"/>
      <c r="B90" s="98"/>
      <c r="C90" s="98"/>
      <c r="D90" s="98"/>
      <c r="E90" s="98"/>
      <c r="F90" s="98"/>
      <c r="G90" s="98"/>
      <c r="H90" s="98"/>
      <c r="I90" s="99"/>
      <c r="J90" s="99"/>
      <c r="K90" s="99"/>
      <c r="L90" s="99"/>
      <c r="M90" s="99"/>
      <c r="N90" s="14"/>
      <c r="O90" s="14"/>
      <c r="P90" s="123"/>
      <c r="Q90" s="14"/>
      <c r="R90" s="12"/>
      <c r="S90" s="14"/>
      <c r="T90" s="15"/>
      <c r="U90" s="12"/>
      <c r="V90" s="14"/>
      <c r="W90" s="15"/>
      <c r="X90" s="15"/>
      <c r="Y90" s="15"/>
      <c r="Z90" s="15"/>
      <c r="AA90" s="15"/>
      <c r="AB90" s="15"/>
      <c r="AC90" s="15"/>
      <c r="AD90" s="15"/>
      <c r="AE90" s="15"/>
      <c r="AF90" s="15"/>
      <c r="AG90" s="15"/>
      <c r="AH90" s="15"/>
      <c r="AI90" s="15"/>
      <c r="AJ90" s="15"/>
      <c r="AK90" s="15"/>
      <c r="AL90" s="15"/>
      <c r="AM90" s="124"/>
      <c r="AN90" s="15"/>
      <c r="AO90" s="15"/>
      <c r="AP90" s="15"/>
      <c r="AQ90" s="15"/>
      <c r="AR90" s="5"/>
      <c r="AS90" s="15"/>
      <c r="AT90" s="15"/>
      <c r="AU90" s="15"/>
      <c r="AV90" s="15"/>
      <c r="AW90" s="5"/>
      <c r="AX90" s="5"/>
      <c r="AY90" s="5"/>
      <c r="AZ90" s="5"/>
      <c r="BA90" s="5"/>
      <c r="BB90" s="5"/>
      <c r="BC90" s="5"/>
      <c r="BD90" s="5"/>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row>
    <row r="91" ht="15.75" customHeight="1">
      <c r="A91" s="98"/>
      <c r="B91" s="98"/>
      <c r="C91" s="98"/>
      <c r="D91" s="98"/>
      <c r="E91" s="98"/>
      <c r="F91" s="98"/>
      <c r="G91" s="98"/>
      <c r="H91" s="98"/>
      <c r="I91" s="99"/>
      <c r="J91" s="99"/>
      <c r="K91" s="99"/>
      <c r="L91" s="99"/>
      <c r="M91" s="99"/>
      <c r="N91" s="14"/>
      <c r="O91" s="14"/>
      <c r="P91" s="123"/>
      <c r="Q91" s="14"/>
      <c r="R91" s="12"/>
      <c r="S91" s="14"/>
      <c r="T91" s="15"/>
      <c r="U91" s="12"/>
      <c r="V91" s="14"/>
      <c r="W91" s="15"/>
      <c r="X91" s="15"/>
      <c r="Y91" s="15"/>
      <c r="Z91" s="15"/>
      <c r="AA91" s="15"/>
      <c r="AB91" s="15"/>
      <c r="AC91" s="15"/>
      <c r="AD91" s="15"/>
      <c r="AE91" s="15"/>
      <c r="AF91" s="15"/>
      <c r="AG91" s="15"/>
      <c r="AH91" s="15"/>
      <c r="AI91" s="15"/>
      <c r="AJ91" s="15"/>
      <c r="AK91" s="15"/>
      <c r="AL91" s="15"/>
      <c r="AM91" s="124"/>
      <c r="AN91" s="15"/>
      <c r="AO91" s="15"/>
      <c r="AP91" s="15"/>
      <c r="AQ91" s="15"/>
      <c r="AR91" s="5"/>
      <c r="AS91" s="15"/>
      <c r="AT91" s="15"/>
      <c r="AU91" s="15"/>
      <c r="AV91" s="15"/>
      <c r="AW91" s="5"/>
      <c r="AX91" s="5"/>
      <c r="AY91" s="5"/>
      <c r="AZ91" s="5"/>
      <c r="BA91" s="5"/>
      <c r="BB91" s="5"/>
      <c r="BC91" s="5"/>
      <c r="BD91" s="5"/>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row>
    <row r="92" ht="15.75" customHeight="1">
      <c r="A92" s="98"/>
      <c r="B92" s="98"/>
      <c r="C92" s="98"/>
      <c r="D92" s="98"/>
      <c r="E92" s="98"/>
      <c r="F92" s="98"/>
      <c r="G92" s="98"/>
      <c r="H92" s="98"/>
      <c r="I92" s="99"/>
      <c r="J92" s="99"/>
      <c r="K92" s="99"/>
      <c r="L92" s="99"/>
      <c r="M92" s="99"/>
      <c r="N92" s="14"/>
      <c r="O92" s="14"/>
      <c r="P92" s="123"/>
      <c r="Q92" s="14"/>
      <c r="R92" s="12"/>
      <c r="S92" s="14"/>
      <c r="T92" s="15"/>
      <c r="U92" s="12"/>
      <c r="V92" s="14"/>
      <c r="W92" s="15"/>
      <c r="X92" s="15"/>
      <c r="Y92" s="15"/>
      <c r="Z92" s="15"/>
      <c r="AA92" s="15"/>
      <c r="AB92" s="15"/>
      <c r="AC92" s="15"/>
      <c r="AD92" s="15"/>
      <c r="AE92" s="15"/>
      <c r="AF92" s="15"/>
      <c r="AG92" s="15"/>
      <c r="AH92" s="15"/>
      <c r="AI92" s="15"/>
      <c r="AJ92" s="15"/>
      <c r="AK92" s="15"/>
      <c r="AL92" s="15"/>
      <c r="AM92" s="124"/>
      <c r="AN92" s="15"/>
      <c r="AO92" s="15"/>
      <c r="AP92" s="15"/>
      <c r="AQ92" s="15"/>
      <c r="AR92" s="5"/>
      <c r="AS92" s="15"/>
      <c r="AT92" s="15"/>
      <c r="AU92" s="15"/>
      <c r="AV92" s="15"/>
      <c r="AW92" s="5"/>
      <c r="AX92" s="5"/>
      <c r="AY92" s="5"/>
      <c r="AZ92" s="5"/>
      <c r="BA92" s="5"/>
      <c r="BB92" s="5"/>
      <c r="BC92" s="5"/>
      <c r="BD92" s="5"/>
      <c r="BE92" s="98"/>
      <c r="BF92" s="98"/>
      <c r="BG92" s="98"/>
      <c r="BH92" s="98"/>
      <c r="BI92" s="98"/>
      <c r="BJ92" s="98"/>
      <c r="BK92" s="98"/>
      <c r="BL92" s="98"/>
      <c r="BM92" s="98"/>
      <c r="BN92" s="98"/>
      <c r="BO92" s="98"/>
      <c r="BP92" s="98"/>
      <c r="BQ92" s="98"/>
      <c r="BR92" s="98"/>
      <c r="BS92" s="98"/>
      <c r="BT92" s="98"/>
      <c r="BU92" s="98"/>
      <c r="BV92" s="98"/>
      <c r="BW92" s="98"/>
      <c r="BX92" s="98"/>
      <c r="BY92" s="98"/>
      <c r="BZ92" s="98"/>
      <c r="CA92" s="98"/>
      <c r="CB92" s="98"/>
      <c r="CC92" s="98"/>
    </row>
    <row r="93" ht="15.75" customHeight="1">
      <c r="A93" s="98"/>
      <c r="B93" s="98"/>
      <c r="C93" s="98"/>
      <c r="D93" s="98"/>
      <c r="E93" s="98"/>
      <c r="F93" s="98"/>
      <c r="G93" s="98"/>
      <c r="H93" s="98"/>
      <c r="I93" s="99"/>
      <c r="J93" s="99"/>
      <c r="K93" s="99"/>
      <c r="L93" s="99"/>
      <c r="M93" s="99"/>
      <c r="N93" s="14"/>
      <c r="O93" s="14"/>
      <c r="P93" s="123"/>
      <c r="Q93" s="14"/>
      <c r="R93" s="12"/>
      <c r="S93" s="14"/>
      <c r="T93" s="15"/>
      <c r="U93" s="12"/>
      <c r="V93" s="14"/>
      <c r="W93" s="15"/>
      <c r="X93" s="15"/>
      <c r="Y93" s="15"/>
      <c r="Z93" s="15"/>
      <c r="AA93" s="15"/>
      <c r="AB93" s="15"/>
      <c r="AC93" s="15"/>
      <c r="AD93" s="15"/>
      <c r="AE93" s="15"/>
      <c r="AF93" s="15"/>
      <c r="AG93" s="15"/>
      <c r="AH93" s="15"/>
      <c r="AI93" s="15"/>
      <c r="AJ93" s="15"/>
      <c r="AK93" s="15"/>
      <c r="AL93" s="15"/>
      <c r="AM93" s="124"/>
      <c r="AN93" s="15"/>
      <c r="AO93" s="15"/>
      <c r="AP93" s="15"/>
      <c r="AQ93" s="15"/>
      <c r="AR93" s="5"/>
      <c r="AS93" s="15"/>
      <c r="AT93" s="15"/>
      <c r="AU93" s="15"/>
      <c r="AV93" s="15"/>
      <c r="AW93" s="5"/>
      <c r="AX93" s="5"/>
      <c r="AY93" s="5"/>
      <c r="AZ93" s="5"/>
      <c r="BA93" s="5"/>
      <c r="BB93" s="5"/>
      <c r="BC93" s="5"/>
      <c r="BD93" s="5"/>
      <c r="BE93" s="98"/>
      <c r="BF93" s="98"/>
      <c r="BG93" s="98"/>
      <c r="BH93" s="98"/>
      <c r="BI93" s="98"/>
      <c r="BJ93" s="98"/>
      <c r="BK93" s="98"/>
      <c r="BL93" s="98"/>
      <c r="BM93" s="98"/>
      <c r="BN93" s="98"/>
      <c r="BO93" s="98"/>
      <c r="BP93" s="98"/>
      <c r="BQ93" s="98"/>
      <c r="BR93" s="98"/>
      <c r="BS93" s="98"/>
      <c r="BT93" s="98"/>
      <c r="BU93" s="98"/>
      <c r="BV93" s="98"/>
      <c r="BW93" s="98"/>
      <c r="BX93" s="98"/>
      <c r="BY93" s="98"/>
      <c r="BZ93" s="98"/>
      <c r="CA93" s="98"/>
      <c r="CB93" s="98"/>
      <c r="CC93" s="98"/>
    </row>
    <row r="94" ht="15.75" customHeight="1">
      <c r="A94" s="98"/>
      <c r="B94" s="98"/>
      <c r="C94" s="98"/>
      <c r="D94" s="98"/>
      <c r="E94" s="98"/>
      <c r="F94" s="98"/>
      <c r="G94" s="98"/>
      <c r="H94" s="98"/>
      <c r="I94" s="99"/>
      <c r="J94" s="99"/>
      <c r="K94" s="99"/>
      <c r="L94" s="99"/>
      <c r="M94" s="99"/>
      <c r="N94" s="14"/>
      <c r="O94" s="14"/>
      <c r="P94" s="123"/>
      <c r="Q94" s="14"/>
      <c r="R94" s="12"/>
      <c r="S94" s="14"/>
      <c r="T94" s="15"/>
      <c r="U94" s="12"/>
      <c r="V94" s="14"/>
      <c r="W94" s="15"/>
      <c r="X94" s="15"/>
      <c r="Y94" s="15"/>
      <c r="Z94" s="15"/>
      <c r="AA94" s="15"/>
      <c r="AB94" s="15"/>
      <c r="AC94" s="15"/>
      <c r="AD94" s="15"/>
      <c r="AE94" s="15"/>
      <c r="AF94" s="15"/>
      <c r="AG94" s="15"/>
      <c r="AH94" s="15"/>
      <c r="AI94" s="15"/>
      <c r="AJ94" s="15"/>
      <c r="AK94" s="15"/>
      <c r="AL94" s="15"/>
      <c r="AM94" s="124"/>
      <c r="AN94" s="15"/>
      <c r="AO94" s="15"/>
      <c r="AP94" s="15"/>
      <c r="AQ94" s="15"/>
      <c r="AR94" s="5"/>
      <c r="AS94" s="15"/>
      <c r="AT94" s="15"/>
      <c r="AU94" s="15"/>
      <c r="AV94" s="15"/>
      <c r="AW94" s="5"/>
      <c r="AX94" s="5"/>
      <c r="AY94" s="5"/>
      <c r="AZ94" s="5"/>
      <c r="BA94" s="5"/>
      <c r="BB94" s="5"/>
      <c r="BC94" s="5"/>
      <c r="BD94" s="5"/>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row>
    <row r="95" ht="15.75" customHeight="1">
      <c r="A95" s="98"/>
      <c r="B95" s="98"/>
      <c r="C95" s="98"/>
      <c r="D95" s="98"/>
      <c r="E95" s="98"/>
      <c r="F95" s="98"/>
      <c r="G95" s="98"/>
      <c r="H95" s="98"/>
      <c r="I95" s="99"/>
      <c r="J95" s="99"/>
      <c r="K95" s="99"/>
      <c r="L95" s="99"/>
      <c r="M95" s="99"/>
      <c r="N95" s="14"/>
      <c r="O95" s="14"/>
      <c r="P95" s="123"/>
      <c r="Q95" s="14"/>
      <c r="R95" s="12"/>
      <c r="S95" s="14"/>
      <c r="T95" s="15"/>
      <c r="U95" s="12"/>
      <c r="V95" s="14"/>
      <c r="W95" s="15"/>
      <c r="X95" s="15"/>
      <c r="Y95" s="15"/>
      <c r="Z95" s="15"/>
      <c r="AA95" s="15"/>
      <c r="AB95" s="15"/>
      <c r="AC95" s="15"/>
      <c r="AD95" s="15"/>
      <c r="AE95" s="15"/>
      <c r="AF95" s="15"/>
      <c r="AG95" s="15"/>
      <c r="AH95" s="15"/>
      <c r="AI95" s="15"/>
      <c r="AJ95" s="15"/>
      <c r="AK95" s="15"/>
      <c r="AL95" s="15"/>
      <c r="AM95" s="124"/>
      <c r="AN95" s="15"/>
      <c r="AO95" s="15"/>
      <c r="AP95" s="15"/>
      <c r="AQ95" s="15"/>
      <c r="AR95" s="5"/>
      <c r="AS95" s="15"/>
      <c r="AT95" s="15"/>
      <c r="AU95" s="15"/>
      <c r="AV95" s="15"/>
      <c r="AW95" s="5"/>
      <c r="AX95" s="5"/>
      <c r="AY95" s="5"/>
      <c r="AZ95" s="5"/>
      <c r="BA95" s="5"/>
      <c r="BB95" s="5"/>
      <c r="BC95" s="5"/>
      <c r="BD95" s="5"/>
      <c r="BE95" s="98"/>
      <c r="BF95" s="98"/>
      <c r="BG95" s="98"/>
      <c r="BH95" s="98"/>
      <c r="BI95" s="98"/>
      <c r="BJ95" s="98"/>
      <c r="BK95" s="98"/>
      <c r="BL95" s="98"/>
      <c r="BM95" s="98"/>
      <c r="BN95" s="98"/>
      <c r="BO95" s="98"/>
      <c r="BP95" s="98"/>
      <c r="BQ95" s="98"/>
      <c r="BR95" s="98"/>
      <c r="BS95" s="98"/>
      <c r="BT95" s="98"/>
      <c r="BU95" s="98"/>
      <c r="BV95" s="98"/>
      <c r="BW95" s="98"/>
      <c r="BX95" s="98"/>
      <c r="BY95" s="98"/>
      <c r="BZ95" s="98"/>
      <c r="CA95" s="98"/>
      <c r="CB95" s="98"/>
      <c r="CC95" s="98"/>
    </row>
    <row r="96" ht="15.75" customHeight="1">
      <c r="A96" s="98"/>
      <c r="B96" s="98"/>
      <c r="C96" s="98"/>
      <c r="D96" s="98"/>
      <c r="E96" s="98"/>
      <c r="F96" s="98"/>
      <c r="G96" s="98"/>
      <c r="H96" s="98"/>
      <c r="I96" s="99"/>
      <c r="J96" s="99"/>
      <c r="K96" s="99"/>
      <c r="L96" s="99"/>
      <c r="M96" s="99"/>
      <c r="N96" s="14"/>
      <c r="O96" s="14"/>
      <c r="P96" s="123"/>
      <c r="Q96" s="14"/>
      <c r="R96" s="12"/>
      <c r="S96" s="14"/>
      <c r="T96" s="15"/>
      <c r="U96" s="12"/>
      <c r="V96" s="14"/>
      <c r="W96" s="15"/>
      <c r="X96" s="15"/>
      <c r="Y96" s="15"/>
      <c r="Z96" s="15"/>
      <c r="AA96" s="15"/>
      <c r="AB96" s="15"/>
      <c r="AC96" s="15"/>
      <c r="AD96" s="15"/>
      <c r="AE96" s="15"/>
      <c r="AF96" s="15"/>
      <c r="AG96" s="15"/>
      <c r="AH96" s="15"/>
      <c r="AI96" s="15"/>
      <c r="AJ96" s="15"/>
      <c r="AK96" s="15"/>
      <c r="AL96" s="15"/>
      <c r="AM96" s="124"/>
      <c r="AN96" s="15"/>
      <c r="AO96" s="15"/>
      <c r="AP96" s="15"/>
      <c r="AQ96" s="15"/>
      <c r="AR96" s="5"/>
      <c r="AS96" s="15"/>
      <c r="AT96" s="15"/>
      <c r="AU96" s="15"/>
      <c r="AV96" s="15"/>
      <c r="AW96" s="5"/>
      <c r="AX96" s="5"/>
      <c r="AY96" s="5"/>
      <c r="AZ96" s="5"/>
      <c r="BA96" s="5"/>
      <c r="BB96" s="5"/>
      <c r="BC96" s="5"/>
      <c r="BD96" s="5"/>
      <c r="BE96" s="98"/>
      <c r="BF96" s="98"/>
      <c r="BG96" s="98"/>
      <c r="BH96" s="98"/>
      <c r="BI96" s="98"/>
      <c r="BJ96" s="98"/>
      <c r="BK96" s="98"/>
      <c r="BL96" s="98"/>
      <c r="BM96" s="98"/>
      <c r="BN96" s="98"/>
      <c r="BO96" s="98"/>
      <c r="BP96" s="98"/>
      <c r="BQ96" s="98"/>
      <c r="BR96" s="98"/>
      <c r="BS96" s="98"/>
      <c r="BT96" s="98"/>
      <c r="BU96" s="98"/>
      <c r="BV96" s="98"/>
      <c r="BW96" s="98"/>
      <c r="BX96" s="98"/>
      <c r="BY96" s="98"/>
      <c r="BZ96" s="98"/>
      <c r="CA96" s="98"/>
      <c r="CB96" s="98"/>
      <c r="CC96" s="98"/>
    </row>
    <row r="97" ht="15.75" customHeight="1">
      <c r="A97" s="98"/>
      <c r="B97" s="98"/>
      <c r="C97" s="98"/>
      <c r="D97" s="98"/>
      <c r="E97" s="98"/>
      <c r="F97" s="98"/>
      <c r="G97" s="98"/>
      <c r="H97" s="98"/>
      <c r="I97" s="99"/>
      <c r="J97" s="99"/>
      <c r="K97" s="99"/>
      <c r="L97" s="99"/>
      <c r="M97" s="99"/>
      <c r="N97" s="14"/>
      <c r="O97" s="14"/>
      <c r="P97" s="123"/>
      <c r="Q97" s="14"/>
      <c r="R97" s="12"/>
      <c r="S97" s="14"/>
      <c r="T97" s="15"/>
      <c r="U97" s="12"/>
      <c r="V97" s="14"/>
      <c r="W97" s="15"/>
      <c r="X97" s="15"/>
      <c r="Y97" s="15"/>
      <c r="Z97" s="15"/>
      <c r="AA97" s="15"/>
      <c r="AB97" s="15"/>
      <c r="AC97" s="15"/>
      <c r="AD97" s="15"/>
      <c r="AE97" s="15"/>
      <c r="AF97" s="15"/>
      <c r="AG97" s="15"/>
      <c r="AH97" s="15"/>
      <c r="AI97" s="15"/>
      <c r="AJ97" s="15"/>
      <c r="AK97" s="15"/>
      <c r="AL97" s="15"/>
      <c r="AM97" s="124"/>
      <c r="AN97" s="15"/>
      <c r="AO97" s="15"/>
      <c r="AP97" s="15"/>
      <c r="AQ97" s="15"/>
      <c r="AR97" s="5"/>
      <c r="AS97" s="15"/>
      <c r="AT97" s="15"/>
      <c r="AU97" s="15"/>
      <c r="AV97" s="15"/>
      <c r="AW97" s="5"/>
      <c r="AX97" s="5"/>
      <c r="AY97" s="5"/>
      <c r="AZ97" s="5"/>
      <c r="BA97" s="5"/>
      <c r="BB97" s="5"/>
      <c r="BC97" s="5"/>
      <c r="BD97" s="5"/>
      <c r="BE97" s="98"/>
      <c r="BF97" s="98"/>
      <c r="BG97" s="98"/>
      <c r="BH97" s="98"/>
      <c r="BI97" s="98"/>
      <c r="BJ97" s="98"/>
      <c r="BK97" s="98"/>
      <c r="BL97" s="98"/>
      <c r="BM97" s="98"/>
      <c r="BN97" s="98"/>
      <c r="BO97" s="98"/>
      <c r="BP97" s="98"/>
      <c r="BQ97" s="98"/>
      <c r="BR97" s="98"/>
      <c r="BS97" s="98"/>
      <c r="BT97" s="98"/>
      <c r="BU97" s="98"/>
      <c r="BV97" s="98"/>
      <c r="BW97" s="98"/>
      <c r="BX97" s="98"/>
      <c r="BY97" s="98"/>
      <c r="BZ97" s="98"/>
      <c r="CA97" s="98"/>
      <c r="CB97" s="98"/>
      <c r="CC97" s="98"/>
    </row>
    <row r="98" ht="15.75" customHeight="1">
      <c r="A98" s="98"/>
      <c r="B98" s="98"/>
      <c r="C98" s="98"/>
      <c r="D98" s="98"/>
      <c r="E98" s="98"/>
      <c r="F98" s="98"/>
      <c r="G98" s="98"/>
      <c r="H98" s="98"/>
      <c r="I98" s="99"/>
      <c r="J98" s="99"/>
      <c r="K98" s="99"/>
      <c r="L98" s="99"/>
      <c r="M98" s="99"/>
      <c r="N98" s="14"/>
      <c r="O98" s="14"/>
      <c r="P98" s="123"/>
      <c r="Q98" s="14"/>
      <c r="R98" s="12"/>
      <c r="S98" s="14"/>
      <c r="T98" s="15"/>
      <c r="U98" s="12"/>
      <c r="V98" s="14"/>
      <c r="W98" s="15"/>
      <c r="X98" s="15"/>
      <c r="Y98" s="15"/>
      <c r="Z98" s="15"/>
      <c r="AA98" s="15"/>
      <c r="AB98" s="15"/>
      <c r="AC98" s="15"/>
      <c r="AD98" s="15"/>
      <c r="AE98" s="15"/>
      <c r="AF98" s="15"/>
      <c r="AG98" s="15"/>
      <c r="AH98" s="15"/>
      <c r="AI98" s="15"/>
      <c r="AJ98" s="15"/>
      <c r="AK98" s="15"/>
      <c r="AL98" s="15"/>
      <c r="AM98" s="124"/>
      <c r="AN98" s="15"/>
      <c r="AO98" s="15"/>
      <c r="AP98" s="15"/>
      <c r="AQ98" s="15"/>
      <c r="AR98" s="5"/>
      <c r="AS98" s="15"/>
      <c r="AT98" s="15"/>
      <c r="AU98" s="15"/>
      <c r="AV98" s="15"/>
      <c r="AW98" s="5"/>
      <c r="AX98" s="5"/>
      <c r="AY98" s="5"/>
      <c r="AZ98" s="5"/>
      <c r="BA98" s="5"/>
      <c r="BB98" s="5"/>
      <c r="BC98" s="5"/>
      <c r="BD98" s="5"/>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row>
    <row r="99" ht="15.75" customHeight="1">
      <c r="A99" s="98"/>
      <c r="B99" s="98"/>
      <c r="C99" s="98"/>
      <c r="D99" s="98"/>
      <c r="E99" s="98"/>
      <c r="F99" s="98"/>
      <c r="G99" s="98"/>
      <c r="H99" s="98"/>
      <c r="I99" s="99"/>
      <c r="J99" s="99"/>
      <c r="K99" s="99"/>
      <c r="L99" s="99"/>
      <c r="M99" s="99"/>
      <c r="N99" s="14"/>
      <c r="O99" s="14"/>
      <c r="P99" s="123"/>
      <c r="Q99" s="14"/>
      <c r="R99" s="12"/>
      <c r="S99" s="14"/>
      <c r="T99" s="15"/>
      <c r="U99" s="12"/>
      <c r="V99" s="14"/>
      <c r="W99" s="15"/>
      <c r="X99" s="15"/>
      <c r="Y99" s="15"/>
      <c r="Z99" s="15"/>
      <c r="AA99" s="15"/>
      <c r="AB99" s="15"/>
      <c r="AC99" s="15"/>
      <c r="AD99" s="15"/>
      <c r="AE99" s="15"/>
      <c r="AF99" s="15"/>
      <c r="AG99" s="15"/>
      <c r="AH99" s="15"/>
      <c r="AI99" s="15"/>
      <c r="AJ99" s="15"/>
      <c r="AK99" s="15"/>
      <c r="AL99" s="15"/>
      <c r="AM99" s="124"/>
      <c r="AN99" s="15"/>
      <c r="AO99" s="15"/>
      <c r="AP99" s="15"/>
      <c r="AQ99" s="15"/>
      <c r="AR99" s="5"/>
      <c r="AS99" s="15"/>
      <c r="AT99" s="15"/>
      <c r="AU99" s="15"/>
      <c r="AV99" s="15"/>
      <c r="AW99" s="5"/>
      <c r="AX99" s="5"/>
      <c r="AY99" s="5"/>
      <c r="AZ99" s="5"/>
      <c r="BA99" s="5"/>
      <c r="BB99" s="5"/>
      <c r="BC99" s="5"/>
      <c r="BD99" s="5"/>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row>
    <row r="100" ht="15.75" customHeight="1">
      <c r="A100" s="98"/>
      <c r="B100" s="98"/>
      <c r="C100" s="98"/>
      <c r="D100" s="98"/>
      <c r="E100" s="98"/>
      <c r="F100" s="98"/>
      <c r="G100" s="98"/>
      <c r="H100" s="98"/>
      <c r="I100" s="99"/>
      <c r="J100" s="99"/>
      <c r="K100" s="99"/>
      <c r="L100" s="99"/>
      <c r="M100" s="99"/>
      <c r="N100" s="14"/>
      <c r="O100" s="14"/>
      <c r="P100" s="123"/>
      <c r="Q100" s="14"/>
      <c r="R100" s="12"/>
      <c r="S100" s="14"/>
      <c r="T100" s="15"/>
      <c r="U100" s="12"/>
      <c r="V100" s="14"/>
      <c r="W100" s="15"/>
      <c r="X100" s="15"/>
      <c r="Y100" s="15"/>
      <c r="Z100" s="15"/>
      <c r="AA100" s="15"/>
      <c r="AB100" s="15"/>
      <c r="AC100" s="15"/>
      <c r="AD100" s="15"/>
      <c r="AE100" s="15"/>
      <c r="AF100" s="15"/>
      <c r="AG100" s="15"/>
      <c r="AH100" s="15"/>
      <c r="AI100" s="15"/>
      <c r="AJ100" s="15"/>
      <c r="AK100" s="15"/>
      <c r="AL100" s="15"/>
      <c r="AM100" s="124"/>
      <c r="AN100" s="15"/>
      <c r="AO100" s="15"/>
      <c r="AP100" s="15"/>
      <c r="AQ100" s="15"/>
      <c r="AR100" s="5"/>
      <c r="AS100" s="15"/>
      <c r="AT100" s="15"/>
      <c r="AU100" s="15"/>
      <c r="AV100" s="15"/>
      <c r="AW100" s="5"/>
      <c r="AX100" s="5"/>
      <c r="AY100" s="5"/>
      <c r="AZ100" s="5"/>
      <c r="BA100" s="5"/>
      <c r="BB100" s="5"/>
      <c r="BC100" s="5"/>
      <c r="BD100" s="5"/>
      <c r="BE100" s="98"/>
      <c r="BF100" s="98"/>
      <c r="BG100" s="98"/>
      <c r="BH100" s="98"/>
      <c r="BI100" s="98"/>
      <c r="BJ100" s="98"/>
      <c r="BK100" s="98"/>
      <c r="BL100" s="98"/>
      <c r="BM100" s="98"/>
      <c r="BN100" s="98"/>
      <c r="BO100" s="98"/>
      <c r="BP100" s="98"/>
      <c r="BQ100" s="98"/>
      <c r="BR100" s="98"/>
      <c r="BS100" s="98"/>
      <c r="BT100" s="98"/>
      <c r="BU100" s="98"/>
      <c r="BV100" s="98"/>
      <c r="BW100" s="98"/>
      <c r="BX100" s="98"/>
      <c r="BY100" s="98"/>
      <c r="BZ100" s="98"/>
      <c r="CA100" s="98"/>
      <c r="CB100" s="98"/>
      <c r="CC100" s="98"/>
    </row>
    <row r="101" ht="15.75" customHeight="1">
      <c r="A101" s="98"/>
      <c r="B101" s="98"/>
      <c r="C101" s="98"/>
      <c r="D101" s="98"/>
      <c r="E101" s="98"/>
      <c r="F101" s="98"/>
      <c r="G101" s="98"/>
      <c r="H101" s="98"/>
      <c r="I101" s="99"/>
      <c r="J101" s="99"/>
      <c r="K101" s="99"/>
      <c r="L101" s="99"/>
      <c r="M101" s="99"/>
      <c r="N101" s="14"/>
      <c r="O101" s="14"/>
      <c r="P101" s="123"/>
      <c r="Q101" s="14"/>
      <c r="R101" s="12"/>
      <c r="S101" s="14"/>
      <c r="T101" s="15"/>
      <c r="U101" s="12"/>
      <c r="V101" s="14"/>
      <c r="W101" s="15"/>
      <c r="X101" s="15"/>
      <c r="Y101" s="15"/>
      <c r="Z101" s="15"/>
      <c r="AA101" s="15"/>
      <c r="AB101" s="15"/>
      <c r="AC101" s="15"/>
      <c r="AD101" s="15"/>
      <c r="AE101" s="15"/>
      <c r="AF101" s="15"/>
      <c r="AG101" s="15"/>
      <c r="AH101" s="15"/>
      <c r="AI101" s="15"/>
      <c r="AJ101" s="15"/>
      <c r="AK101" s="15"/>
      <c r="AL101" s="15"/>
      <c r="AM101" s="124"/>
      <c r="AN101" s="15"/>
      <c r="AO101" s="15"/>
      <c r="AP101" s="15"/>
      <c r="AQ101" s="15"/>
      <c r="AR101" s="5"/>
      <c r="AS101" s="15"/>
      <c r="AT101" s="15"/>
      <c r="AU101" s="15"/>
      <c r="AV101" s="15"/>
      <c r="AW101" s="5"/>
      <c r="AX101" s="5"/>
      <c r="AY101" s="5"/>
      <c r="AZ101" s="5"/>
      <c r="BA101" s="5"/>
      <c r="BB101" s="5"/>
      <c r="BC101" s="5"/>
      <c r="BD101" s="5"/>
      <c r="BE101" s="98"/>
      <c r="BF101" s="98"/>
      <c r="BG101" s="98"/>
      <c r="BH101" s="98"/>
      <c r="BI101" s="98"/>
      <c r="BJ101" s="98"/>
      <c r="BK101" s="98"/>
      <c r="BL101" s="98"/>
      <c r="BM101" s="98"/>
      <c r="BN101" s="98"/>
      <c r="BO101" s="98"/>
      <c r="BP101" s="98"/>
      <c r="BQ101" s="98"/>
      <c r="BR101" s="98"/>
      <c r="BS101" s="98"/>
      <c r="BT101" s="98"/>
      <c r="BU101" s="98"/>
      <c r="BV101" s="98"/>
      <c r="BW101" s="98"/>
      <c r="BX101" s="98"/>
      <c r="BY101" s="98"/>
      <c r="BZ101" s="98"/>
      <c r="CA101" s="98"/>
      <c r="CB101" s="98"/>
      <c r="CC101" s="98"/>
    </row>
    <row r="102" ht="15.75" customHeight="1">
      <c r="A102" s="98"/>
      <c r="B102" s="98"/>
      <c r="C102" s="98"/>
      <c r="D102" s="98"/>
      <c r="E102" s="98"/>
      <c r="F102" s="98"/>
      <c r="G102" s="98"/>
      <c r="H102" s="98"/>
      <c r="I102" s="99"/>
      <c r="J102" s="99"/>
      <c r="K102" s="99"/>
      <c r="L102" s="99"/>
      <c r="M102" s="99"/>
      <c r="N102" s="14"/>
      <c r="O102" s="14"/>
      <c r="P102" s="123"/>
      <c r="Q102" s="14"/>
      <c r="R102" s="12"/>
      <c r="S102" s="14"/>
      <c r="T102" s="15"/>
      <c r="U102" s="12"/>
      <c r="V102" s="14"/>
      <c r="W102" s="15"/>
      <c r="X102" s="15"/>
      <c r="Y102" s="15"/>
      <c r="Z102" s="15"/>
      <c r="AA102" s="15"/>
      <c r="AB102" s="15"/>
      <c r="AC102" s="15"/>
      <c r="AD102" s="15"/>
      <c r="AE102" s="15"/>
      <c r="AF102" s="15"/>
      <c r="AG102" s="15"/>
      <c r="AH102" s="15"/>
      <c r="AI102" s="15"/>
      <c r="AJ102" s="15"/>
      <c r="AK102" s="15"/>
      <c r="AL102" s="15"/>
      <c r="AM102" s="124"/>
      <c r="AN102" s="15"/>
      <c r="AO102" s="15"/>
      <c r="AP102" s="15"/>
      <c r="AQ102" s="15"/>
      <c r="AR102" s="5"/>
      <c r="AS102" s="15"/>
      <c r="AT102" s="15"/>
      <c r="AU102" s="15"/>
      <c r="AV102" s="15"/>
      <c r="AW102" s="5"/>
      <c r="AX102" s="5"/>
      <c r="AY102" s="5"/>
      <c r="AZ102" s="5"/>
      <c r="BA102" s="5"/>
      <c r="BB102" s="5"/>
      <c r="BC102" s="5"/>
      <c r="BD102" s="5"/>
      <c r="BE102" s="98"/>
      <c r="BF102" s="98"/>
      <c r="BG102" s="98"/>
      <c r="BH102" s="98"/>
      <c r="BI102" s="98"/>
      <c r="BJ102" s="98"/>
      <c r="BK102" s="98"/>
      <c r="BL102" s="98"/>
      <c r="BM102" s="98"/>
      <c r="BN102" s="98"/>
      <c r="BO102" s="98"/>
      <c r="BP102" s="98"/>
      <c r="BQ102" s="98"/>
      <c r="BR102" s="98"/>
      <c r="BS102" s="98"/>
      <c r="BT102" s="98"/>
      <c r="BU102" s="98"/>
      <c r="BV102" s="98"/>
      <c r="BW102" s="98"/>
      <c r="BX102" s="98"/>
      <c r="BY102" s="98"/>
      <c r="BZ102" s="98"/>
      <c r="CA102" s="98"/>
      <c r="CB102" s="98"/>
      <c r="CC102" s="98"/>
    </row>
    <row r="103" ht="15.75" customHeight="1">
      <c r="A103" s="98"/>
      <c r="B103" s="98"/>
      <c r="C103" s="98"/>
      <c r="D103" s="98"/>
      <c r="E103" s="98"/>
      <c r="F103" s="98"/>
      <c r="G103" s="98"/>
      <c r="H103" s="98"/>
      <c r="I103" s="99"/>
      <c r="J103" s="99"/>
      <c r="K103" s="99"/>
      <c r="L103" s="99"/>
      <c r="M103" s="99"/>
      <c r="N103" s="14"/>
      <c r="O103" s="14"/>
      <c r="P103" s="123"/>
      <c r="Q103" s="14"/>
      <c r="R103" s="12"/>
      <c r="S103" s="14"/>
      <c r="T103" s="15"/>
      <c r="U103" s="12"/>
      <c r="V103" s="14"/>
      <c r="W103" s="15"/>
      <c r="X103" s="15"/>
      <c r="Y103" s="15"/>
      <c r="Z103" s="15"/>
      <c r="AA103" s="15"/>
      <c r="AB103" s="15"/>
      <c r="AC103" s="15"/>
      <c r="AD103" s="15"/>
      <c r="AE103" s="15"/>
      <c r="AF103" s="15"/>
      <c r="AG103" s="15"/>
      <c r="AH103" s="15"/>
      <c r="AI103" s="15"/>
      <c r="AJ103" s="15"/>
      <c r="AK103" s="15"/>
      <c r="AL103" s="15"/>
      <c r="AM103" s="124"/>
      <c r="AN103" s="15"/>
      <c r="AO103" s="15"/>
      <c r="AP103" s="15"/>
      <c r="AQ103" s="15"/>
      <c r="AR103" s="5"/>
      <c r="AS103" s="15"/>
      <c r="AT103" s="15"/>
      <c r="AU103" s="15"/>
      <c r="AV103" s="15"/>
      <c r="AW103" s="5"/>
      <c r="AX103" s="5"/>
      <c r="AY103" s="5"/>
      <c r="AZ103" s="5"/>
      <c r="BA103" s="5"/>
      <c r="BB103" s="5"/>
      <c r="BC103" s="5"/>
      <c r="BD103" s="5"/>
      <c r="BE103" s="98"/>
      <c r="BF103" s="98"/>
      <c r="BG103" s="98"/>
      <c r="BH103" s="98"/>
      <c r="BI103" s="98"/>
      <c r="BJ103" s="98"/>
      <c r="BK103" s="98"/>
      <c r="BL103" s="98"/>
      <c r="BM103" s="98"/>
      <c r="BN103" s="98"/>
      <c r="BO103" s="98"/>
      <c r="BP103" s="98"/>
      <c r="BQ103" s="98"/>
      <c r="BR103" s="98"/>
      <c r="BS103" s="98"/>
      <c r="BT103" s="98"/>
      <c r="BU103" s="98"/>
      <c r="BV103" s="98"/>
      <c r="BW103" s="98"/>
      <c r="BX103" s="98"/>
      <c r="BY103" s="98"/>
      <c r="BZ103" s="98"/>
      <c r="CA103" s="98"/>
      <c r="CB103" s="98"/>
      <c r="CC103" s="98"/>
    </row>
    <row r="104" ht="15.75" customHeight="1">
      <c r="A104" s="98"/>
      <c r="B104" s="98"/>
      <c r="C104" s="98"/>
      <c r="D104" s="98"/>
      <c r="E104" s="98"/>
      <c r="F104" s="98"/>
      <c r="G104" s="98"/>
      <c r="H104" s="98"/>
      <c r="I104" s="99"/>
      <c r="J104" s="99"/>
      <c r="K104" s="99"/>
      <c r="L104" s="99"/>
      <c r="M104" s="99"/>
      <c r="N104" s="14"/>
      <c r="O104" s="14"/>
      <c r="P104" s="123"/>
      <c r="Q104" s="14"/>
      <c r="R104" s="12"/>
      <c r="S104" s="14"/>
      <c r="T104" s="15"/>
      <c r="U104" s="12"/>
      <c r="V104" s="14"/>
      <c r="W104" s="15"/>
      <c r="X104" s="15"/>
      <c r="Y104" s="15"/>
      <c r="Z104" s="15"/>
      <c r="AA104" s="15"/>
      <c r="AB104" s="15"/>
      <c r="AC104" s="15"/>
      <c r="AD104" s="15"/>
      <c r="AE104" s="15"/>
      <c r="AF104" s="15"/>
      <c r="AG104" s="15"/>
      <c r="AH104" s="15"/>
      <c r="AI104" s="15"/>
      <c r="AJ104" s="15"/>
      <c r="AK104" s="15"/>
      <c r="AL104" s="15"/>
      <c r="AM104" s="124"/>
      <c r="AN104" s="15"/>
      <c r="AO104" s="15"/>
      <c r="AP104" s="15"/>
      <c r="AQ104" s="15"/>
      <c r="AR104" s="5"/>
      <c r="AS104" s="15"/>
      <c r="AT104" s="15"/>
      <c r="AU104" s="15"/>
      <c r="AV104" s="15"/>
      <c r="AW104" s="5"/>
      <c r="AX104" s="5"/>
      <c r="AY104" s="5"/>
      <c r="AZ104" s="5"/>
      <c r="BA104" s="5"/>
      <c r="BB104" s="5"/>
      <c r="BC104" s="5"/>
      <c r="BD104" s="5"/>
      <c r="BE104" s="98"/>
      <c r="BF104" s="98"/>
      <c r="BG104" s="98"/>
      <c r="BH104" s="98"/>
      <c r="BI104" s="98"/>
      <c r="BJ104" s="98"/>
      <c r="BK104" s="98"/>
      <c r="BL104" s="98"/>
      <c r="BM104" s="98"/>
      <c r="BN104" s="98"/>
      <c r="BO104" s="98"/>
      <c r="BP104" s="98"/>
      <c r="BQ104" s="98"/>
      <c r="BR104" s="98"/>
      <c r="BS104" s="98"/>
      <c r="BT104" s="98"/>
      <c r="BU104" s="98"/>
      <c r="BV104" s="98"/>
      <c r="BW104" s="98"/>
      <c r="BX104" s="98"/>
      <c r="BY104" s="98"/>
      <c r="BZ104" s="98"/>
      <c r="CA104" s="98"/>
      <c r="CB104" s="98"/>
      <c r="CC104" s="98"/>
    </row>
    <row r="105" ht="15.75" customHeight="1">
      <c r="A105" s="98"/>
      <c r="B105" s="98"/>
      <c r="C105" s="98"/>
      <c r="D105" s="98"/>
      <c r="E105" s="98"/>
      <c r="F105" s="98"/>
      <c r="G105" s="98"/>
      <c r="H105" s="98"/>
      <c r="I105" s="99"/>
      <c r="J105" s="99"/>
      <c r="K105" s="99"/>
      <c r="L105" s="99"/>
      <c r="M105" s="99"/>
      <c r="N105" s="14"/>
      <c r="O105" s="14"/>
      <c r="P105" s="123"/>
      <c r="Q105" s="14"/>
      <c r="R105" s="12"/>
      <c r="S105" s="14"/>
      <c r="T105" s="15"/>
      <c r="U105" s="12"/>
      <c r="V105" s="14"/>
      <c r="W105" s="15"/>
      <c r="X105" s="15"/>
      <c r="Y105" s="15"/>
      <c r="Z105" s="15"/>
      <c r="AA105" s="15"/>
      <c r="AB105" s="15"/>
      <c r="AC105" s="15"/>
      <c r="AD105" s="15"/>
      <c r="AE105" s="15"/>
      <c r="AF105" s="15"/>
      <c r="AG105" s="15"/>
      <c r="AH105" s="15"/>
      <c r="AI105" s="15"/>
      <c r="AJ105" s="15"/>
      <c r="AK105" s="15"/>
      <c r="AL105" s="15"/>
      <c r="AM105" s="124"/>
      <c r="AN105" s="15"/>
      <c r="AO105" s="15"/>
      <c r="AP105" s="15"/>
      <c r="AQ105" s="15"/>
      <c r="AR105" s="5"/>
      <c r="AS105" s="15"/>
      <c r="AT105" s="15"/>
      <c r="AU105" s="15"/>
      <c r="AV105" s="15"/>
      <c r="AW105" s="5"/>
      <c r="AX105" s="5"/>
      <c r="AY105" s="5"/>
      <c r="AZ105" s="5"/>
      <c r="BA105" s="5"/>
      <c r="BB105" s="5"/>
      <c r="BC105" s="5"/>
      <c r="BD105" s="5"/>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row>
    <row r="106" ht="15.75" customHeight="1">
      <c r="A106" s="98"/>
      <c r="B106" s="98"/>
      <c r="C106" s="98"/>
      <c r="D106" s="98"/>
      <c r="E106" s="98"/>
      <c r="F106" s="98"/>
      <c r="G106" s="98"/>
      <c r="H106" s="98"/>
      <c r="I106" s="99"/>
      <c r="J106" s="99"/>
      <c r="K106" s="99"/>
      <c r="L106" s="99"/>
      <c r="M106" s="99"/>
      <c r="N106" s="14"/>
      <c r="O106" s="14"/>
      <c r="P106" s="123"/>
      <c r="Q106" s="14"/>
      <c r="R106" s="12"/>
      <c r="S106" s="14"/>
      <c r="T106" s="15"/>
      <c r="U106" s="12"/>
      <c r="V106" s="14"/>
      <c r="W106" s="15"/>
      <c r="X106" s="15"/>
      <c r="Y106" s="15"/>
      <c r="Z106" s="15"/>
      <c r="AA106" s="15"/>
      <c r="AB106" s="15"/>
      <c r="AC106" s="15"/>
      <c r="AD106" s="15"/>
      <c r="AE106" s="15"/>
      <c r="AF106" s="15"/>
      <c r="AG106" s="15"/>
      <c r="AH106" s="15"/>
      <c r="AI106" s="15"/>
      <c r="AJ106" s="15"/>
      <c r="AK106" s="15"/>
      <c r="AL106" s="15"/>
      <c r="AM106" s="124"/>
      <c r="AN106" s="15"/>
      <c r="AO106" s="15"/>
      <c r="AP106" s="15"/>
      <c r="AQ106" s="15"/>
      <c r="AR106" s="5"/>
      <c r="AS106" s="15"/>
      <c r="AT106" s="15"/>
      <c r="AU106" s="15"/>
      <c r="AV106" s="15"/>
      <c r="AW106" s="5"/>
      <c r="AX106" s="5"/>
      <c r="AY106" s="5"/>
      <c r="AZ106" s="5"/>
      <c r="BA106" s="5"/>
      <c r="BB106" s="5"/>
      <c r="BC106" s="5"/>
      <c r="BD106" s="5"/>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row>
    <row r="107" ht="15.75" customHeight="1">
      <c r="A107" s="98"/>
      <c r="B107" s="98"/>
      <c r="C107" s="98"/>
      <c r="D107" s="98"/>
      <c r="E107" s="98"/>
      <c r="F107" s="98"/>
      <c r="G107" s="98"/>
      <c r="H107" s="98"/>
      <c r="I107" s="99"/>
      <c r="J107" s="99"/>
      <c r="K107" s="99"/>
      <c r="L107" s="99"/>
      <c r="M107" s="99"/>
      <c r="N107" s="14"/>
      <c r="O107" s="14"/>
      <c r="P107" s="123"/>
      <c r="Q107" s="14"/>
      <c r="R107" s="12"/>
      <c r="S107" s="14"/>
      <c r="T107" s="15"/>
      <c r="U107" s="12"/>
      <c r="V107" s="14"/>
      <c r="W107" s="15"/>
      <c r="X107" s="15"/>
      <c r="Y107" s="15"/>
      <c r="Z107" s="15"/>
      <c r="AA107" s="15"/>
      <c r="AB107" s="15"/>
      <c r="AC107" s="15"/>
      <c r="AD107" s="15"/>
      <c r="AE107" s="15"/>
      <c r="AF107" s="15"/>
      <c r="AG107" s="15"/>
      <c r="AH107" s="15"/>
      <c r="AI107" s="15"/>
      <c r="AJ107" s="15"/>
      <c r="AK107" s="15"/>
      <c r="AL107" s="15"/>
      <c r="AM107" s="124"/>
      <c r="AN107" s="15"/>
      <c r="AO107" s="15"/>
      <c r="AP107" s="15"/>
      <c r="AQ107" s="15"/>
      <c r="AR107" s="5"/>
      <c r="AS107" s="15"/>
      <c r="AT107" s="15"/>
      <c r="AU107" s="15"/>
      <c r="AV107" s="15"/>
      <c r="AW107" s="5"/>
      <c r="AX107" s="5"/>
      <c r="AY107" s="5"/>
      <c r="AZ107" s="5"/>
      <c r="BA107" s="5"/>
      <c r="BB107" s="5"/>
      <c r="BC107" s="5"/>
      <c r="BD107" s="5"/>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row>
    <row r="108" ht="15.75" customHeight="1">
      <c r="A108" s="98"/>
      <c r="B108" s="98"/>
      <c r="C108" s="98"/>
      <c r="D108" s="98"/>
      <c r="E108" s="98"/>
      <c r="F108" s="98"/>
      <c r="G108" s="98"/>
      <c r="H108" s="98"/>
      <c r="I108" s="99"/>
      <c r="J108" s="99"/>
      <c r="K108" s="99"/>
      <c r="L108" s="99"/>
      <c r="M108" s="99"/>
      <c r="N108" s="14"/>
      <c r="O108" s="14"/>
      <c r="P108" s="123"/>
      <c r="Q108" s="14"/>
      <c r="R108" s="12"/>
      <c r="S108" s="14"/>
      <c r="T108" s="15"/>
      <c r="U108" s="12"/>
      <c r="V108" s="14"/>
      <c r="W108" s="15"/>
      <c r="X108" s="15"/>
      <c r="Y108" s="15"/>
      <c r="Z108" s="15"/>
      <c r="AA108" s="15"/>
      <c r="AB108" s="15"/>
      <c r="AC108" s="15"/>
      <c r="AD108" s="15"/>
      <c r="AE108" s="15"/>
      <c r="AF108" s="15"/>
      <c r="AG108" s="15"/>
      <c r="AH108" s="15"/>
      <c r="AI108" s="15"/>
      <c r="AJ108" s="15"/>
      <c r="AK108" s="15"/>
      <c r="AL108" s="15"/>
      <c r="AM108" s="124"/>
      <c r="AN108" s="15"/>
      <c r="AO108" s="15"/>
      <c r="AP108" s="15"/>
      <c r="AQ108" s="15"/>
      <c r="AR108" s="5"/>
      <c r="AS108" s="15"/>
      <c r="AT108" s="15"/>
      <c r="AU108" s="15"/>
      <c r="AV108" s="15"/>
      <c r="AW108" s="5"/>
      <c r="AX108" s="5"/>
      <c r="AY108" s="5"/>
      <c r="AZ108" s="5"/>
      <c r="BA108" s="5"/>
      <c r="BB108" s="5"/>
      <c r="BC108" s="5"/>
      <c r="BD108" s="5"/>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row>
    <row r="109" ht="15.75" customHeight="1">
      <c r="A109" s="98"/>
      <c r="B109" s="98"/>
      <c r="C109" s="98"/>
      <c r="D109" s="98"/>
      <c r="E109" s="98"/>
      <c r="F109" s="98"/>
      <c r="G109" s="98"/>
      <c r="H109" s="98"/>
      <c r="I109" s="99"/>
      <c r="J109" s="99"/>
      <c r="K109" s="99"/>
      <c r="L109" s="99"/>
      <c r="M109" s="99"/>
      <c r="N109" s="14"/>
      <c r="O109" s="14"/>
      <c r="P109" s="123"/>
      <c r="Q109" s="14"/>
      <c r="R109" s="12"/>
      <c r="S109" s="14"/>
      <c r="T109" s="15"/>
      <c r="U109" s="12"/>
      <c r="V109" s="14"/>
      <c r="W109" s="15"/>
      <c r="X109" s="15"/>
      <c r="Y109" s="15"/>
      <c r="Z109" s="15"/>
      <c r="AA109" s="15"/>
      <c r="AB109" s="15"/>
      <c r="AC109" s="15"/>
      <c r="AD109" s="15"/>
      <c r="AE109" s="15"/>
      <c r="AF109" s="15"/>
      <c r="AG109" s="15"/>
      <c r="AH109" s="15"/>
      <c r="AI109" s="15"/>
      <c r="AJ109" s="15"/>
      <c r="AK109" s="15"/>
      <c r="AL109" s="15"/>
      <c r="AM109" s="124"/>
      <c r="AN109" s="15"/>
      <c r="AO109" s="15"/>
      <c r="AP109" s="15"/>
      <c r="AQ109" s="15"/>
      <c r="AR109" s="5"/>
      <c r="AS109" s="15"/>
      <c r="AT109" s="15"/>
      <c r="AU109" s="15"/>
      <c r="AV109" s="15"/>
      <c r="AW109" s="5"/>
      <c r="AX109" s="5"/>
      <c r="AY109" s="5"/>
      <c r="AZ109" s="5"/>
      <c r="BA109" s="5"/>
      <c r="BB109" s="5"/>
      <c r="BC109" s="5"/>
      <c r="BD109" s="5"/>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row>
    <row r="110" ht="15.75" customHeight="1">
      <c r="A110" s="98"/>
      <c r="B110" s="98"/>
      <c r="C110" s="98"/>
      <c r="D110" s="98"/>
      <c r="E110" s="98"/>
      <c r="F110" s="98"/>
      <c r="G110" s="98"/>
      <c r="H110" s="98"/>
      <c r="I110" s="99"/>
      <c r="J110" s="99"/>
      <c r="K110" s="99"/>
      <c r="L110" s="99"/>
      <c r="M110" s="99"/>
      <c r="N110" s="14"/>
      <c r="O110" s="14"/>
      <c r="P110" s="123"/>
      <c r="Q110" s="14"/>
      <c r="R110" s="12"/>
      <c r="S110" s="14"/>
      <c r="T110" s="15"/>
      <c r="U110" s="12"/>
      <c r="V110" s="14"/>
      <c r="W110" s="15"/>
      <c r="X110" s="15"/>
      <c r="Y110" s="15"/>
      <c r="Z110" s="15"/>
      <c r="AA110" s="15"/>
      <c r="AB110" s="15"/>
      <c r="AC110" s="15"/>
      <c r="AD110" s="15"/>
      <c r="AE110" s="15"/>
      <c r="AF110" s="15"/>
      <c r="AG110" s="15"/>
      <c r="AH110" s="15"/>
      <c r="AI110" s="15"/>
      <c r="AJ110" s="15"/>
      <c r="AK110" s="15"/>
      <c r="AL110" s="15"/>
      <c r="AM110" s="124"/>
      <c r="AN110" s="15"/>
      <c r="AO110" s="15"/>
      <c r="AP110" s="15"/>
      <c r="AQ110" s="15"/>
      <c r="AR110" s="5"/>
      <c r="AS110" s="15"/>
      <c r="AT110" s="15"/>
      <c r="AU110" s="15"/>
      <c r="AV110" s="15"/>
      <c r="AW110" s="5"/>
      <c r="AX110" s="5"/>
      <c r="AY110" s="5"/>
      <c r="AZ110" s="5"/>
      <c r="BA110" s="5"/>
      <c r="BB110" s="5"/>
      <c r="BC110" s="5"/>
      <c r="BD110" s="5"/>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row>
    <row r="111" ht="15.75" customHeight="1">
      <c r="A111" s="98"/>
      <c r="B111" s="98"/>
      <c r="C111" s="98"/>
      <c r="D111" s="98"/>
      <c r="E111" s="98"/>
      <c r="F111" s="98"/>
      <c r="G111" s="98"/>
      <c r="H111" s="98"/>
      <c r="I111" s="99"/>
      <c r="J111" s="99"/>
      <c r="K111" s="99"/>
      <c r="L111" s="99"/>
      <c r="M111" s="99"/>
      <c r="N111" s="14"/>
      <c r="O111" s="14"/>
      <c r="P111" s="123"/>
      <c r="Q111" s="14"/>
      <c r="R111" s="12"/>
      <c r="S111" s="14"/>
      <c r="T111" s="15"/>
      <c r="U111" s="12"/>
      <c r="V111" s="14"/>
      <c r="W111" s="15"/>
      <c r="X111" s="15"/>
      <c r="Y111" s="15"/>
      <c r="Z111" s="15"/>
      <c r="AA111" s="15"/>
      <c r="AB111" s="15"/>
      <c r="AC111" s="15"/>
      <c r="AD111" s="15"/>
      <c r="AE111" s="15"/>
      <c r="AF111" s="15"/>
      <c r="AG111" s="15"/>
      <c r="AH111" s="15"/>
      <c r="AI111" s="15"/>
      <c r="AJ111" s="15"/>
      <c r="AK111" s="15"/>
      <c r="AL111" s="15"/>
      <c r="AM111" s="124"/>
      <c r="AN111" s="15"/>
      <c r="AO111" s="15"/>
      <c r="AP111" s="15"/>
      <c r="AQ111" s="15"/>
      <c r="AR111" s="5"/>
      <c r="AS111" s="15"/>
      <c r="AT111" s="15"/>
      <c r="AU111" s="15"/>
      <c r="AV111" s="15"/>
      <c r="AW111" s="5"/>
      <c r="AX111" s="5"/>
      <c r="AY111" s="5"/>
      <c r="AZ111" s="5"/>
      <c r="BA111" s="5"/>
      <c r="BB111" s="5"/>
      <c r="BC111" s="5"/>
      <c r="BD111" s="5"/>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row>
    <row r="112" ht="15.75" customHeight="1">
      <c r="A112" s="98"/>
      <c r="B112" s="98"/>
      <c r="C112" s="98"/>
      <c r="D112" s="98"/>
      <c r="E112" s="98"/>
      <c r="F112" s="98"/>
      <c r="G112" s="98"/>
      <c r="H112" s="98"/>
      <c r="I112" s="99"/>
      <c r="J112" s="99"/>
      <c r="K112" s="99"/>
      <c r="L112" s="99"/>
      <c r="M112" s="99"/>
      <c r="N112" s="14"/>
      <c r="O112" s="14"/>
      <c r="P112" s="123"/>
      <c r="Q112" s="14"/>
      <c r="R112" s="12"/>
      <c r="S112" s="14"/>
      <c r="T112" s="15"/>
      <c r="U112" s="12"/>
      <c r="V112" s="14"/>
      <c r="W112" s="15"/>
      <c r="X112" s="15"/>
      <c r="Y112" s="15"/>
      <c r="Z112" s="15"/>
      <c r="AA112" s="15"/>
      <c r="AB112" s="15"/>
      <c r="AC112" s="15"/>
      <c r="AD112" s="15"/>
      <c r="AE112" s="15"/>
      <c r="AF112" s="15"/>
      <c r="AG112" s="15"/>
      <c r="AH112" s="15"/>
      <c r="AI112" s="15"/>
      <c r="AJ112" s="15"/>
      <c r="AK112" s="15"/>
      <c r="AL112" s="15"/>
      <c r="AM112" s="124"/>
      <c r="AN112" s="15"/>
      <c r="AO112" s="15"/>
      <c r="AP112" s="15"/>
      <c r="AQ112" s="15"/>
      <c r="AR112" s="5"/>
      <c r="AS112" s="15"/>
      <c r="AT112" s="15"/>
      <c r="AU112" s="15"/>
      <c r="AV112" s="15"/>
      <c r="AW112" s="5"/>
      <c r="AX112" s="5"/>
      <c r="AY112" s="5"/>
      <c r="AZ112" s="5"/>
      <c r="BA112" s="5"/>
      <c r="BB112" s="5"/>
      <c r="BC112" s="5"/>
      <c r="BD112" s="5"/>
      <c r="BE112" s="98"/>
      <c r="BF112" s="98"/>
      <c r="BG112" s="98"/>
      <c r="BH112" s="98"/>
      <c r="BI112" s="98"/>
      <c r="BJ112" s="98"/>
      <c r="BK112" s="98"/>
      <c r="BL112" s="98"/>
      <c r="BM112" s="98"/>
      <c r="BN112" s="98"/>
      <c r="BO112" s="98"/>
      <c r="BP112" s="98"/>
      <c r="BQ112" s="98"/>
      <c r="BR112" s="98"/>
      <c r="BS112" s="98"/>
      <c r="BT112" s="98"/>
      <c r="BU112" s="98"/>
      <c r="BV112" s="98"/>
      <c r="BW112" s="98"/>
      <c r="BX112" s="98"/>
      <c r="BY112" s="98"/>
      <c r="BZ112" s="98"/>
      <c r="CA112" s="98"/>
      <c r="CB112" s="98"/>
      <c r="CC112" s="98"/>
    </row>
    <row r="113" ht="15.75" customHeight="1">
      <c r="A113" s="98"/>
      <c r="B113" s="98"/>
      <c r="C113" s="98"/>
      <c r="D113" s="98"/>
      <c r="E113" s="98"/>
      <c r="F113" s="98"/>
      <c r="G113" s="98"/>
      <c r="H113" s="98"/>
      <c r="I113" s="99"/>
      <c r="J113" s="99"/>
      <c r="K113" s="99"/>
      <c r="L113" s="99"/>
      <c r="M113" s="99"/>
      <c r="N113" s="14"/>
      <c r="O113" s="14"/>
      <c r="P113" s="123"/>
      <c r="Q113" s="14"/>
      <c r="R113" s="12"/>
      <c r="S113" s="14"/>
      <c r="T113" s="15"/>
      <c r="U113" s="12"/>
      <c r="V113" s="14"/>
      <c r="W113" s="15"/>
      <c r="X113" s="15"/>
      <c r="Y113" s="15"/>
      <c r="Z113" s="15"/>
      <c r="AA113" s="15"/>
      <c r="AB113" s="15"/>
      <c r="AC113" s="15"/>
      <c r="AD113" s="15"/>
      <c r="AE113" s="15"/>
      <c r="AF113" s="15"/>
      <c r="AG113" s="15"/>
      <c r="AH113" s="15"/>
      <c r="AI113" s="15"/>
      <c r="AJ113" s="15"/>
      <c r="AK113" s="15"/>
      <c r="AL113" s="15"/>
      <c r="AM113" s="124"/>
      <c r="AN113" s="15"/>
      <c r="AO113" s="15"/>
      <c r="AP113" s="15"/>
      <c r="AQ113" s="15"/>
      <c r="AR113" s="5"/>
      <c r="AS113" s="15"/>
      <c r="AT113" s="15"/>
      <c r="AU113" s="15"/>
      <c r="AV113" s="15"/>
      <c r="AW113" s="5"/>
      <c r="AX113" s="5"/>
      <c r="AY113" s="5"/>
      <c r="AZ113" s="5"/>
      <c r="BA113" s="5"/>
      <c r="BB113" s="5"/>
      <c r="BC113" s="5"/>
      <c r="BD113" s="5"/>
      <c r="BE113" s="98"/>
      <c r="BF113" s="98"/>
      <c r="BG113" s="98"/>
      <c r="BH113" s="98"/>
      <c r="BI113" s="98"/>
      <c r="BJ113" s="98"/>
      <c r="BK113" s="98"/>
      <c r="BL113" s="98"/>
      <c r="BM113" s="98"/>
      <c r="BN113" s="98"/>
      <c r="BO113" s="98"/>
      <c r="BP113" s="98"/>
      <c r="BQ113" s="98"/>
      <c r="BR113" s="98"/>
      <c r="BS113" s="98"/>
      <c r="BT113" s="98"/>
      <c r="BU113" s="98"/>
      <c r="BV113" s="98"/>
      <c r="BW113" s="98"/>
      <c r="BX113" s="98"/>
      <c r="BY113" s="98"/>
      <c r="BZ113" s="98"/>
      <c r="CA113" s="98"/>
      <c r="CB113" s="98"/>
      <c r="CC113" s="98"/>
    </row>
    <row r="114" ht="15.75" customHeight="1">
      <c r="A114" s="98"/>
      <c r="B114" s="98"/>
      <c r="C114" s="98"/>
      <c r="D114" s="98"/>
      <c r="E114" s="98"/>
      <c r="F114" s="98"/>
      <c r="G114" s="98"/>
      <c r="H114" s="98"/>
      <c r="I114" s="99"/>
      <c r="J114" s="99"/>
      <c r="K114" s="99"/>
      <c r="L114" s="99"/>
      <c r="M114" s="99"/>
      <c r="N114" s="14"/>
      <c r="O114" s="14"/>
      <c r="P114" s="123"/>
      <c r="Q114" s="14"/>
      <c r="R114" s="12"/>
      <c r="S114" s="14"/>
      <c r="T114" s="15"/>
      <c r="U114" s="12"/>
      <c r="V114" s="14"/>
      <c r="W114" s="15"/>
      <c r="X114" s="15"/>
      <c r="Y114" s="15"/>
      <c r="Z114" s="15"/>
      <c r="AA114" s="15"/>
      <c r="AB114" s="15"/>
      <c r="AC114" s="15"/>
      <c r="AD114" s="15"/>
      <c r="AE114" s="15"/>
      <c r="AF114" s="15"/>
      <c r="AG114" s="15"/>
      <c r="AH114" s="15"/>
      <c r="AI114" s="15"/>
      <c r="AJ114" s="15"/>
      <c r="AK114" s="15"/>
      <c r="AL114" s="15"/>
      <c r="AM114" s="124"/>
      <c r="AN114" s="15"/>
      <c r="AO114" s="15"/>
      <c r="AP114" s="15"/>
      <c r="AQ114" s="15"/>
      <c r="AR114" s="5"/>
      <c r="AS114" s="15"/>
      <c r="AT114" s="15"/>
      <c r="AU114" s="15"/>
      <c r="AV114" s="15"/>
      <c r="AW114" s="5"/>
      <c r="AX114" s="5"/>
      <c r="AY114" s="5"/>
      <c r="AZ114" s="5"/>
      <c r="BA114" s="5"/>
      <c r="BB114" s="5"/>
      <c r="BC114" s="5"/>
      <c r="BD114" s="5"/>
      <c r="BE114" s="98"/>
      <c r="BF114" s="98"/>
      <c r="BG114" s="98"/>
      <c r="BH114" s="98"/>
      <c r="BI114" s="98"/>
      <c r="BJ114" s="98"/>
      <c r="BK114" s="98"/>
      <c r="BL114" s="98"/>
      <c r="BM114" s="98"/>
      <c r="BN114" s="98"/>
      <c r="BO114" s="98"/>
      <c r="BP114" s="98"/>
      <c r="BQ114" s="98"/>
      <c r="BR114" s="98"/>
      <c r="BS114" s="98"/>
      <c r="BT114" s="98"/>
      <c r="BU114" s="98"/>
      <c r="BV114" s="98"/>
      <c r="BW114" s="98"/>
      <c r="BX114" s="98"/>
      <c r="BY114" s="98"/>
      <c r="BZ114" s="98"/>
      <c r="CA114" s="98"/>
      <c r="CB114" s="98"/>
      <c r="CC114" s="98"/>
    </row>
    <row r="115" ht="15.75" customHeight="1">
      <c r="A115" s="98"/>
      <c r="B115" s="98"/>
      <c r="C115" s="98"/>
      <c r="D115" s="98"/>
      <c r="E115" s="98"/>
      <c r="F115" s="98"/>
      <c r="G115" s="98"/>
      <c r="H115" s="98"/>
      <c r="I115" s="99"/>
      <c r="J115" s="99"/>
      <c r="K115" s="99"/>
      <c r="L115" s="99"/>
      <c r="M115" s="99"/>
      <c r="N115" s="14"/>
      <c r="O115" s="14"/>
      <c r="P115" s="123"/>
      <c r="Q115" s="14"/>
      <c r="R115" s="12"/>
      <c r="S115" s="14"/>
      <c r="T115" s="15"/>
      <c r="U115" s="12"/>
      <c r="V115" s="14"/>
      <c r="W115" s="15"/>
      <c r="X115" s="15"/>
      <c r="Y115" s="15"/>
      <c r="Z115" s="15"/>
      <c r="AA115" s="15"/>
      <c r="AB115" s="15"/>
      <c r="AC115" s="15"/>
      <c r="AD115" s="15"/>
      <c r="AE115" s="15"/>
      <c r="AF115" s="15"/>
      <c r="AG115" s="15"/>
      <c r="AH115" s="15"/>
      <c r="AI115" s="15"/>
      <c r="AJ115" s="15"/>
      <c r="AK115" s="15"/>
      <c r="AL115" s="15"/>
      <c r="AM115" s="124"/>
      <c r="AN115" s="15"/>
      <c r="AO115" s="15"/>
      <c r="AP115" s="15"/>
      <c r="AQ115" s="15"/>
      <c r="AR115" s="5"/>
      <c r="AS115" s="15"/>
      <c r="AT115" s="15"/>
      <c r="AU115" s="15"/>
      <c r="AV115" s="15"/>
      <c r="AW115" s="5"/>
      <c r="AX115" s="5"/>
      <c r="AY115" s="5"/>
      <c r="AZ115" s="5"/>
      <c r="BA115" s="5"/>
      <c r="BB115" s="5"/>
      <c r="BC115" s="5"/>
      <c r="BD115" s="5"/>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c r="CB115" s="98"/>
      <c r="CC115" s="98"/>
    </row>
    <row r="116" ht="15.75" customHeight="1">
      <c r="A116" s="98"/>
      <c r="B116" s="98"/>
      <c r="C116" s="98"/>
      <c r="D116" s="98"/>
      <c r="E116" s="98"/>
      <c r="F116" s="98"/>
      <c r="G116" s="98"/>
      <c r="H116" s="98"/>
      <c r="I116" s="99"/>
      <c r="J116" s="99"/>
      <c r="K116" s="99"/>
      <c r="L116" s="99"/>
      <c r="M116" s="99"/>
      <c r="N116" s="14"/>
      <c r="O116" s="14"/>
      <c r="P116" s="123"/>
      <c r="Q116" s="14"/>
      <c r="R116" s="12"/>
      <c r="S116" s="14"/>
      <c r="T116" s="15"/>
      <c r="U116" s="12"/>
      <c r="V116" s="14"/>
      <c r="W116" s="15"/>
      <c r="X116" s="15"/>
      <c r="Y116" s="15"/>
      <c r="Z116" s="15"/>
      <c r="AA116" s="15"/>
      <c r="AB116" s="15"/>
      <c r="AC116" s="15"/>
      <c r="AD116" s="15"/>
      <c r="AE116" s="15"/>
      <c r="AF116" s="15"/>
      <c r="AG116" s="15"/>
      <c r="AH116" s="15"/>
      <c r="AI116" s="15"/>
      <c r="AJ116" s="15"/>
      <c r="AK116" s="15"/>
      <c r="AL116" s="15"/>
      <c r="AM116" s="124"/>
      <c r="AN116" s="15"/>
      <c r="AO116" s="15"/>
      <c r="AP116" s="15"/>
      <c r="AQ116" s="15"/>
      <c r="AR116" s="5"/>
      <c r="AS116" s="15"/>
      <c r="AT116" s="15"/>
      <c r="AU116" s="15"/>
      <c r="AV116" s="15"/>
      <c r="AW116" s="5"/>
      <c r="AX116" s="5"/>
      <c r="AY116" s="5"/>
      <c r="AZ116" s="5"/>
      <c r="BA116" s="5"/>
      <c r="BB116" s="5"/>
      <c r="BC116" s="5"/>
      <c r="BD116" s="5"/>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row>
    <row r="117" ht="15.75" customHeight="1">
      <c r="A117" s="98"/>
      <c r="B117" s="98"/>
      <c r="C117" s="98"/>
      <c r="D117" s="98"/>
      <c r="E117" s="98"/>
      <c r="F117" s="98"/>
      <c r="G117" s="98"/>
      <c r="H117" s="98"/>
      <c r="I117" s="99"/>
      <c r="J117" s="99"/>
      <c r="K117" s="99"/>
      <c r="L117" s="99"/>
      <c r="M117" s="99"/>
      <c r="N117" s="14"/>
      <c r="O117" s="14"/>
      <c r="P117" s="123"/>
      <c r="Q117" s="14"/>
      <c r="R117" s="12"/>
      <c r="S117" s="14"/>
      <c r="T117" s="15"/>
      <c r="U117" s="12"/>
      <c r="V117" s="14"/>
      <c r="W117" s="15"/>
      <c r="X117" s="15"/>
      <c r="Y117" s="15"/>
      <c r="Z117" s="15"/>
      <c r="AA117" s="15"/>
      <c r="AB117" s="15"/>
      <c r="AC117" s="15"/>
      <c r="AD117" s="15"/>
      <c r="AE117" s="15"/>
      <c r="AF117" s="15"/>
      <c r="AG117" s="15"/>
      <c r="AH117" s="15"/>
      <c r="AI117" s="15"/>
      <c r="AJ117" s="15"/>
      <c r="AK117" s="15"/>
      <c r="AL117" s="15"/>
      <c r="AM117" s="124"/>
      <c r="AN117" s="15"/>
      <c r="AO117" s="15"/>
      <c r="AP117" s="15"/>
      <c r="AQ117" s="15"/>
      <c r="AR117" s="5"/>
      <c r="AS117" s="15"/>
      <c r="AT117" s="15"/>
      <c r="AU117" s="15"/>
      <c r="AV117" s="15"/>
      <c r="AW117" s="5"/>
      <c r="AX117" s="5"/>
      <c r="AY117" s="5"/>
      <c r="AZ117" s="5"/>
      <c r="BA117" s="5"/>
      <c r="BB117" s="5"/>
      <c r="BC117" s="5"/>
      <c r="BD117" s="5"/>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row>
    <row r="118" ht="15.75" customHeight="1">
      <c r="A118" s="98"/>
      <c r="B118" s="98"/>
      <c r="C118" s="98"/>
      <c r="D118" s="98"/>
      <c r="E118" s="98"/>
      <c r="F118" s="98"/>
      <c r="G118" s="98"/>
      <c r="H118" s="98"/>
      <c r="I118" s="99"/>
      <c r="J118" s="99"/>
      <c r="K118" s="99"/>
      <c r="L118" s="99"/>
      <c r="M118" s="99"/>
      <c r="N118" s="14"/>
      <c r="O118" s="14"/>
      <c r="P118" s="123"/>
      <c r="Q118" s="14"/>
      <c r="R118" s="12"/>
      <c r="S118" s="14"/>
      <c r="T118" s="15"/>
      <c r="U118" s="12"/>
      <c r="V118" s="14"/>
      <c r="W118" s="15"/>
      <c r="X118" s="15"/>
      <c r="Y118" s="15"/>
      <c r="Z118" s="15"/>
      <c r="AA118" s="15"/>
      <c r="AB118" s="15"/>
      <c r="AC118" s="15"/>
      <c r="AD118" s="15"/>
      <c r="AE118" s="15"/>
      <c r="AF118" s="15"/>
      <c r="AG118" s="15"/>
      <c r="AH118" s="15"/>
      <c r="AI118" s="15"/>
      <c r="AJ118" s="15"/>
      <c r="AK118" s="15"/>
      <c r="AL118" s="15"/>
      <c r="AM118" s="124"/>
      <c r="AN118" s="15"/>
      <c r="AO118" s="15"/>
      <c r="AP118" s="15"/>
      <c r="AQ118" s="15"/>
      <c r="AR118" s="5"/>
      <c r="AS118" s="15"/>
      <c r="AT118" s="15"/>
      <c r="AU118" s="15"/>
      <c r="AV118" s="15"/>
      <c r="AW118" s="5"/>
      <c r="AX118" s="5"/>
      <c r="AY118" s="5"/>
      <c r="AZ118" s="5"/>
      <c r="BA118" s="5"/>
      <c r="BB118" s="5"/>
      <c r="BC118" s="5"/>
      <c r="BD118" s="5"/>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row>
    <row r="119" ht="15.75" customHeight="1">
      <c r="A119" s="98"/>
      <c r="B119" s="98"/>
      <c r="C119" s="98"/>
      <c r="D119" s="98"/>
      <c r="E119" s="98"/>
      <c r="F119" s="98"/>
      <c r="G119" s="98"/>
      <c r="H119" s="98"/>
      <c r="I119" s="99"/>
      <c r="J119" s="99"/>
      <c r="K119" s="99"/>
      <c r="L119" s="99"/>
      <c r="M119" s="99"/>
      <c r="N119" s="14"/>
      <c r="O119" s="14"/>
      <c r="P119" s="123"/>
      <c r="Q119" s="14"/>
      <c r="R119" s="12"/>
      <c r="S119" s="14"/>
      <c r="T119" s="15"/>
      <c r="U119" s="12"/>
      <c r="V119" s="14"/>
      <c r="W119" s="15"/>
      <c r="X119" s="15"/>
      <c r="Y119" s="15"/>
      <c r="Z119" s="15"/>
      <c r="AA119" s="15"/>
      <c r="AB119" s="15"/>
      <c r="AC119" s="15"/>
      <c r="AD119" s="15"/>
      <c r="AE119" s="15"/>
      <c r="AF119" s="15"/>
      <c r="AG119" s="15"/>
      <c r="AH119" s="15"/>
      <c r="AI119" s="15"/>
      <c r="AJ119" s="15"/>
      <c r="AK119" s="15"/>
      <c r="AL119" s="15"/>
      <c r="AM119" s="124"/>
      <c r="AN119" s="15"/>
      <c r="AO119" s="15"/>
      <c r="AP119" s="15"/>
      <c r="AQ119" s="15"/>
      <c r="AR119" s="5"/>
      <c r="AS119" s="15"/>
      <c r="AT119" s="15"/>
      <c r="AU119" s="15"/>
      <c r="AV119" s="15"/>
      <c r="AW119" s="5"/>
      <c r="AX119" s="5"/>
      <c r="AY119" s="5"/>
      <c r="AZ119" s="5"/>
      <c r="BA119" s="5"/>
      <c r="BB119" s="5"/>
      <c r="BC119" s="5"/>
      <c r="BD119" s="5"/>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row>
    <row r="120" ht="15.75" customHeight="1">
      <c r="A120" s="98"/>
      <c r="B120" s="98"/>
      <c r="C120" s="98"/>
      <c r="D120" s="98"/>
      <c r="E120" s="98"/>
      <c r="F120" s="98"/>
      <c r="G120" s="98"/>
      <c r="H120" s="98"/>
      <c r="I120" s="99"/>
      <c r="J120" s="99"/>
      <c r="K120" s="99"/>
      <c r="L120" s="99"/>
      <c r="M120" s="99"/>
      <c r="N120" s="14"/>
      <c r="O120" s="14"/>
      <c r="P120" s="123"/>
      <c r="Q120" s="14"/>
      <c r="R120" s="12"/>
      <c r="S120" s="14"/>
      <c r="T120" s="15"/>
      <c r="U120" s="12"/>
      <c r="V120" s="14"/>
      <c r="W120" s="15"/>
      <c r="X120" s="15"/>
      <c r="Y120" s="15"/>
      <c r="Z120" s="15"/>
      <c r="AA120" s="15"/>
      <c r="AB120" s="15"/>
      <c r="AC120" s="15"/>
      <c r="AD120" s="15"/>
      <c r="AE120" s="15"/>
      <c r="AF120" s="15"/>
      <c r="AG120" s="15"/>
      <c r="AH120" s="15"/>
      <c r="AI120" s="15"/>
      <c r="AJ120" s="15"/>
      <c r="AK120" s="15"/>
      <c r="AL120" s="15"/>
      <c r="AM120" s="124"/>
      <c r="AN120" s="15"/>
      <c r="AO120" s="15"/>
      <c r="AP120" s="15"/>
      <c r="AQ120" s="15"/>
      <c r="AR120" s="5"/>
      <c r="AS120" s="15"/>
      <c r="AT120" s="15"/>
      <c r="AU120" s="15"/>
      <c r="AV120" s="15"/>
      <c r="AW120" s="5"/>
      <c r="AX120" s="5"/>
      <c r="AY120" s="5"/>
      <c r="AZ120" s="5"/>
      <c r="BA120" s="5"/>
      <c r="BB120" s="5"/>
      <c r="BC120" s="5"/>
      <c r="BD120" s="5"/>
      <c r="BE120" s="98"/>
      <c r="BF120" s="98"/>
      <c r="BG120" s="98"/>
      <c r="BH120" s="98"/>
      <c r="BI120" s="98"/>
      <c r="BJ120" s="98"/>
      <c r="BK120" s="98"/>
      <c r="BL120" s="98"/>
      <c r="BM120" s="98"/>
      <c r="BN120" s="98"/>
      <c r="BO120" s="98"/>
      <c r="BP120" s="98"/>
      <c r="BQ120" s="98"/>
      <c r="BR120" s="98"/>
      <c r="BS120" s="98"/>
      <c r="BT120" s="98"/>
      <c r="BU120" s="98"/>
      <c r="BV120" s="98"/>
      <c r="BW120" s="98"/>
      <c r="BX120" s="98"/>
      <c r="BY120" s="98"/>
      <c r="BZ120" s="98"/>
      <c r="CA120" s="98"/>
      <c r="CB120" s="98"/>
      <c r="CC120" s="98"/>
    </row>
    <row r="121" ht="15.75" customHeight="1">
      <c r="A121" s="98"/>
      <c r="B121" s="98"/>
      <c r="C121" s="98"/>
      <c r="D121" s="98"/>
      <c r="E121" s="98"/>
      <c r="F121" s="98"/>
      <c r="G121" s="98"/>
      <c r="H121" s="98"/>
      <c r="I121" s="99"/>
      <c r="J121" s="99"/>
      <c r="K121" s="99"/>
      <c r="L121" s="99"/>
      <c r="M121" s="99"/>
      <c r="N121" s="14"/>
      <c r="O121" s="14"/>
      <c r="P121" s="123"/>
      <c r="Q121" s="14"/>
      <c r="R121" s="12"/>
      <c r="S121" s="14"/>
      <c r="T121" s="15"/>
      <c r="U121" s="12"/>
      <c r="V121" s="14"/>
      <c r="W121" s="15"/>
      <c r="X121" s="15"/>
      <c r="Y121" s="15"/>
      <c r="Z121" s="15"/>
      <c r="AA121" s="15"/>
      <c r="AB121" s="15"/>
      <c r="AC121" s="15"/>
      <c r="AD121" s="15"/>
      <c r="AE121" s="15"/>
      <c r="AF121" s="15"/>
      <c r="AG121" s="15"/>
      <c r="AH121" s="15"/>
      <c r="AI121" s="15"/>
      <c r="AJ121" s="15"/>
      <c r="AK121" s="15"/>
      <c r="AL121" s="15"/>
      <c r="AM121" s="124"/>
      <c r="AN121" s="15"/>
      <c r="AO121" s="15"/>
      <c r="AP121" s="15"/>
      <c r="AQ121" s="15"/>
      <c r="AR121" s="5"/>
      <c r="AS121" s="15"/>
      <c r="AT121" s="15"/>
      <c r="AU121" s="15"/>
      <c r="AV121" s="15"/>
      <c r="AW121" s="5"/>
      <c r="AX121" s="5"/>
      <c r="AY121" s="5"/>
      <c r="AZ121" s="5"/>
      <c r="BA121" s="5"/>
      <c r="BB121" s="5"/>
      <c r="BC121" s="5"/>
      <c r="BD121" s="5"/>
      <c r="BE121" s="98"/>
      <c r="BF121" s="98"/>
      <c r="BG121" s="98"/>
      <c r="BH121" s="98"/>
      <c r="BI121" s="98"/>
      <c r="BJ121" s="98"/>
      <c r="BK121" s="98"/>
      <c r="BL121" s="98"/>
      <c r="BM121" s="98"/>
      <c r="BN121" s="98"/>
      <c r="BO121" s="98"/>
      <c r="BP121" s="98"/>
      <c r="BQ121" s="98"/>
      <c r="BR121" s="98"/>
      <c r="BS121" s="98"/>
      <c r="BT121" s="98"/>
      <c r="BU121" s="98"/>
      <c r="BV121" s="98"/>
      <c r="BW121" s="98"/>
      <c r="BX121" s="98"/>
      <c r="BY121" s="98"/>
      <c r="BZ121" s="98"/>
      <c r="CA121" s="98"/>
      <c r="CB121" s="98"/>
      <c r="CC121" s="98"/>
    </row>
    <row r="122" ht="15.75" customHeight="1">
      <c r="A122" s="98"/>
      <c r="B122" s="98"/>
      <c r="C122" s="98"/>
      <c r="D122" s="98"/>
      <c r="E122" s="98"/>
      <c r="F122" s="98"/>
      <c r="G122" s="98"/>
      <c r="H122" s="98"/>
      <c r="I122" s="99"/>
      <c r="J122" s="99"/>
      <c r="K122" s="99"/>
      <c r="L122" s="99"/>
      <c r="M122" s="99"/>
      <c r="N122" s="14"/>
      <c r="O122" s="14"/>
      <c r="P122" s="123"/>
      <c r="Q122" s="14"/>
      <c r="R122" s="12"/>
      <c r="S122" s="14"/>
      <c r="T122" s="15"/>
      <c r="U122" s="12"/>
      <c r="V122" s="14"/>
      <c r="W122" s="15"/>
      <c r="X122" s="15"/>
      <c r="Y122" s="15"/>
      <c r="Z122" s="15"/>
      <c r="AA122" s="15"/>
      <c r="AB122" s="15"/>
      <c r="AC122" s="15"/>
      <c r="AD122" s="15"/>
      <c r="AE122" s="15"/>
      <c r="AF122" s="15"/>
      <c r="AG122" s="15"/>
      <c r="AH122" s="15"/>
      <c r="AI122" s="15"/>
      <c r="AJ122" s="15"/>
      <c r="AK122" s="15"/>
      <c r="AL122" s="15"/>
      <c r="AM122" s="124"/>
      <c r="AN122" s="15"/>
      <c r="AO122" s="15"/>
      <c r="AP122" s="15"/>
      <c r="AQ122" s="15"/>
      <c r="AR122" s="5"/>
      <c r="AS122" s="15"/>
      <c r="AT122" s="15"/>
      <c r="AU122" s="15"/>
      <c r="AV122" s="15"/>
      <c r="AW122" s="5"/>
      <c r="AX122" s="5"/>
      <c r="AY122" s="5"/>
      <c r="AZ122" s="5"/>
      <c r="BA122" s="5"/>
      <c r="BB122" s="5"/>
      <c r="BC122" s="5"/>
      <c r="BD122" s="5"/>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c r="CB122" s="98"/>
      <c r="CC122" s="98"/>
    </row>
    <row r="123" ht="15.75" customHeight="1">
      <c r="A123" s="98"/>
      <c r="B123" s="98"/>
      <c r="C123" s="98"/>
      <c r="D123" s="98"/>
      <c r="E123" s="98"/>
      <c r="F123" s="98"/>
      <c r="G123" s="98"/>
      <c r="H123" s="98"/>
      <c r="I123" s="99"/>
      <c r="J123" s="99"/>
      <c r="K123" s="99"/>
      <c r="L123" s="99"/>
      <c r="M123" s="99"/>
      <c r="N123" s="14"/>
      <c r="O123" s="14"/>
      <c r="P123" s="123"/>
      <c r="Q123" s="14"/>
      <c r="R123" s="12"/>
      <c r="S123" s="14"/>
      <c r="T123" s="15"/>
      <c r="U123" s="12"/>
      <c r="V123" s="14"/>
      <c r="W123" s="15"/>
      <c r="X123" s="15"/>
      <c r="Y123" s="15"/>
      <c r="Z123" s="15"/>
      <c r="AA123" s="15"/>
      <c r="AB123" s="15"/>
      <c r="AC123" s="15"/>
      <c r="AD123" s="15"/>
      <c r="AE123" s="15"/>
      <c r="AF123" s="15"/>
      <c r="AG123" s="15"/>
      <c r="AH123" s="15"/>
      <c r="AI123" s="15"/>
      <c r="AJ123" s="15"/>
      <c r="AK123" s="15"/>
      <c r="AL123" s="15"/>
      <c r="AM123" s="124"/>
      <c r="AN123" s="15"/>
      <c r="AO123" s="15"/>
      <c r="AP123" s="15"/>
      <c r="AQ123" s="15"/>
      <c r="AR123" s="5"/>
      <c r="AS123" s="15"/>
      <c r="AT123" s="15"/>
      <c r="AU123" s="15"/>
      <c r="AV123" s="15"/>
      <c r="AW123" s="5"/>
      <c r="AX123" s="5"/>
      <c r="AY123" s="5"/>
      <c r="AZ123" s="5"/>
      <c r="BA123" s="5"/>
      <c r="BB123" s="5"/>
      <c r="BC123" s="5"/>
      <c r="BD123" s="5"/>
      <c r="BE123" s="98"/>
      <c r="BF123" s="98"/>
      <c r="BG123" s="98"/>
      <c r="BH123" s="98"/>
      <c r="BI123" s="98"/>
      <c r="BJ123" s="98"/>
      <c r="BK123" s="98"/>
      <c r="BL123" s="98"/>
      <c r="BM123" s="98"/>
      <c r="BN123" s="98"/>
      <c r="BO123" s="98"/>
      <c r="BP123" s="98"/>
      <c r="BQ123" s="98"/>
      <c r="BR123" s="98"/>
      <c r="BS123" s="98"/>
      <c r="BT123" s="98"/>
      <c r="BU123" s="98"/>
      <c r="BV123" s="98"/>
      <c r="BW123" s="98"/>
      <c r="BX123" s="98"/>
      <c r="BY123" s="98"/>
      <c r="BZ123" s="98"/>
      <c r="CA123" s="98"/>
      <c r="CB123" s="98"/>
      <c r="CC123" s="98"/>
    </row>
    <row r="124" ht="15.75" customHeight="1">
      <c r="A124" s="98"/>
      <c r="B124" s="98"/>
      <c r="C124" s="98"/>
      <c r="D124" s="98"/>
      <c r="E124" s="98"/>
      <c r="F124" s="98"/>
      <c r="G124" s="98"/>
      <c r="H124" s="98"/>
      <c r="I124" s="99"/>
      <c r="J124" s="99"/>
      <c r="K124" s="99"/>
      <c r="L124" s="99"/>
      <c r="M124" s="99"/>
      <c r="N124" s="14"/>
      <c r="O124" s="14"/>
      <c r="P124" s="123"/>
      <c r="Q124" s="14"/>
      <c r="R124" s="12"/>
      <c r="S124" s="14"/>
      <c r="T124" s="15"/>
      <c r="U124" s="12"/>
      <c r="V124" s="14"/>
      <c r="W124" s="15"/>
      <c r="X124" s="15"/>
      <c r="Y124" s="15"/>
      <c r="Z124" s="15"/>
      <c r="AA124" s="15"/>
      <c r="AB124" s="15"/>
      <c r="AC124" s="15"/>
      <c r="AD124" s="15"/>
      <c r="AE124" s="15"/>
      <c r="AF124" s="15"/>
      <c r="AG124" s="15"/>
      <c r="AH124" s="15"/>
      <c r="AI124" s="15"/>
      <c r="AJ124" s="15"/>
      <c r="AK124" s="15"/>
      <c r="AL124" s="15"/>
      <c r="AM124" s="124"/>
      <c r="AN124" s="15"/>
      <c r="AO124" s="15"/>
      <c r="AP124" s="15"/>
      <c r="AQ124" s="15"/>
      <c r="AR124" s="5"/>
      <c r="AS124" s="15"/>
      <c r="AT124" s="15"/>
      <c r="AU124" s="15"/>
      <c r="AV124" s="15"/>
      <c r="AW124" s="5"/>
      <c r="AX124" s="5"/>
      <c r="AY124" s="5"/>
      <c r="AZ124" s="5"/>
      <c r="BA124" s="5"/>
      <c r="BB124" s="5"/>
      <c r="BC124" s="5"/>
      <c r="BD124" s="5"/>
      <c r="BE124" s="98"/>
      <c r="BF124" s="98"/>
      <c r="BG124" s="98"/>
      <c r="BH124" s="98"/>
      <c r="BI124" s="98"/>
      <c r="BJ124" s="98"/>
      <c r="BK124" s="98"/>
      <c r="BL124" s="98"/>
      <c r="BM124" s="98"/>
      <c r="BN124" s="98"/>
      <c r="BO124" s="98"/>
      <c r="BP124" s="98"/>
      <c r="BQ124" s="98"/>
      <c r="BR124" s="98"/>
      <c r="BS124" s="98"/>
      <c r="BT124" s="98"/>
      <c r="BU124" s="98"/>
      <c r="BV124" s="98"/>
      <c r="BW124" s="98"/>
      <c r="BX124" s="98"/>
      <c r="BY124" s="98"/>
      <c r="BZ124" s="98"/>
      <c r="CA124" s="98"/>
      <c r="CB124" s="98"/>
      <c r="CC124" s="98"/>
    </row>
    <row r="125" ht="15.75" customHeight="1">
      <c r="A125" s="98"/>
      <c r="B125" s="98"/>
      <c r="C125" s="98"/>
      <c r="D125" s="98"/>
      <c r="E125" s="98"/>
      <c r="F125" s="98"/>
      <c r="G125" s="98"/>
      <c r="H125" s="98"/>
      <c r="I125" s="99"/>
      <c r="J125" s="99"/>
      <c r="K125" s="99"/>
      <c r="L125" s="99"/>
      <c r="M125" s="99"/>
      <c r="N125" s="14"/>
      <c r="O125" s="14"/>
      <c r="P125" s="123"/>
      <c r="Q125" s="14"/>
      <c r="R125" s="12"/>
      <c r="S125" s="14"/>
      <c r="T125" s="15"/>
      <c r="U125" s="12"/>
      <c r="V125" s="14"/>
      <c r="W125" s="15"/>
      <c r="X125" s="15"/>
      <c r="Y125" s="15"/>
      <c r="Z125" s="15"/>
      <c r="AA125" s="15"/>
      <c r="AB125" s="15"/>
      <c r="AC125" s="15"/>
      <c r="AD125" s="15"/>
      <c r="AE125" s="15"/>
      <c r="AF125" s="15"/>
      <c r="AG125" s="15"/>
      <c r="AH125" s="15"/>
      <c r="AI125" s="15"/>
      <c r="AJ125" s="15"/>
      <c r="AK125" s="15"/>
      <c r="AL125" s="15"/>
      <c r="AM125" s="124"/>
      <c r="AN125" s="15"/>
      <c r="AO125" s="15"/>
      <c r="AP125" s="15"/>
      <c r="AQ125" s="15"/>
      <c r="AR125" s="5"/>
      <c r="AS125" s="15"/>
      <c r="AT125" s="15"/>
      <c r="AU125" s="15"/>
      <c r="AV125" s="15"/>
      <c r="AW125" s="5"/>
      <c r="AX125" s="5"/>
      <c r="AY125" s="5"/>
      <c r="AZ125" s="5"/>
      <c r="BA125" s="5"/>
      <c r="BB125" s="5"/>
      <c r="BC125" s="5"/>
      <c r="BD125" s="5"/>
      <c r="BE125" s="98"/>
      <c r="BF125" s="98"/>
      <c r="BG125" s="98"/>
      <c r="BH125" s="98"/>
      <c r="BI125" s="98"/>
      <c r="BJ125" s="98"/>
      <c r="BK125" s="98"/>
      <c r="BL125" s="98"/>
      <c r="BM125" s="98"/>
      <c r="BN125" s="98"/>
      <c r="BO125" s="98"/>
      <c r="BP125" s="98"/>
      <c r="BQ125" s="98"/>
      <c r="BR125" s="98"/>
      <c r="BS125" s="98"/>
      <c r="BT125" s="98"/>
      <c r="BU125" s="98"/>
      <c r="BV125" s="98"/>
      <c r="BW125" s="98"/>
      <c r="BX125" s="98"/>
      <c r="BY125" s="98"/>
      <c r="BZ125" s="98"/>
      <c r="CA125" s="98"/>
      <c r="CB125" s="98"/>
      <c r="CC125" s="98"/>
    </row>
    <row r="126" ht="15.75" customHeight="1">
      <c r="A126" s="98"/>
      <c r="B126" s="98"/>
      <c r="C126" s="98"/>
      <c r="D126" s="98"/>
      <c r="E126" s="98"/>
      <c r="F126" s="98"/>
      <c r="G126" s="98"/>
      <c r="H126" s="98"/>
      <c r="I126" s="99"/>
      <c r="J126" s="99"/>
      <c r="K126" s="99"/>
      <c r="L126" s="99"/>
      <c r="M126" s="99"/>
      <c r="N126" s="14"/>
      <c r="O126" s="14"/>
      <c r="P126" s="123"/>
      <c r="Q126" s="14"/>
      <c r="R126" s="12"/>
      <c r="S126" s="14"/>
      <c r="T126" s="15"/>
      <c r="U126" s="12"/>
      <c r="V126" s="14"/>
      <c r="W126" s="15"/>
      <c r="X126" s="15"/>
      <c r="Y126" s="15"/>
      <c r="Z126" s="15"/>
      <c r="AA126" s="15"/>
      <c r="AB126" s="15"/>
      <c r="AC126" s="15"/>
      <c r="AD126" s="15"/>
      <c r="AE126" s="15"/>
      <c r="AF126" s="15"/>
      <c r="AG126" s="15"/>
      <c r="AH126" s="15"/>
      <c r="AI126" s="15"/>
      <c r="AJ126" s="15"/>
      <c r="AK126" s="15"/>
      <c r="AL126" s="15"/>
      <c r="AM126" s="124"/>
      <c r="AN126" s="15"/>
      <c r="AO126" s="15"/>
      <c r="AP126" s="15"/>
      <c r="AQ126" s="15"/>
      <c r="AR126" s="5"/>
      <c r="AS126" s="15"/>
      <c r="AT126" s="15"/>
      <c r="AU126" s="15"/>
      <c r="AV126" s="15"/>
      <c r="AW126" s="5"/>
      <c r="AX126" s="5"/>
      <c r="AY126" s="5"/>
      <c r="AZ126" s="5"/>
      <c r="BA126" s="5"/>
      <c r="BB126" s="5"/>
      <c r="BC126" s="5"/>
      <c r="BD126" s="5"/>
      <c r="BE126" s="98"/>
      <c r="BF126" s="98"/>
      <c r="BG126" s="98"/>
      <c r="BH126" s="98"/>
      <c r="BI126" s="98"/>
      <c r="BJ126" s="98"/>
      <c r="BK126" s="98"/>
      <c r="BL126" s="98"/>
      <c r="BM126" s="98"/>
      <c r="BN126" s="98"/>
      <c r="BO126" s="98"/>
      <c r="BP126" s="98"/>
      <c r="BQ126" s="98"/>
      <c r="BR126" s="98"/>
      <c r="BS126" s="98"/>
      <c r="BT126" s="98"/>
      <c r="BU126" s="98"/>
      <c r="BV126" s="98"/>
      <c r="BW126" s="98"/>
      <c r="BX126" s="98"/>
      <c r="BY126" s="98"/>
      <c r="BZ126" s="98"/>
      <c r="CA126" s="98"/>
      <c r="CB126" s="98"/>
      <c r="CC126" s="98"/>
    </row>
    <row r="127" ht="15.75" customHeight="1">
      <c r="A127" s="98"/>
      <c r="B127" s="98"/>
      <c r="C127" s="98"/>
      <c r="D127" s="98"/>
      <c r="E127" s="98"/>
      <c r="F127" s="98"/>
      <c r="G127" s="98"/>
      <c r="H127" s="98"/>
      <c r="I127" s="99"/>
      <c r="J127" s="99"/>
      <c r="K127" s="99"/>
      <c r="L127" s="99"/>
      <c r="M127" s="99"/>
      <c r="N127" s="14"/>
      <c r="O127" s="14"/>
      <c r="P127" s="123"/>
      <c r="Q127" s="14"/>
      <c r="R127" s="12"/>
      <c r="S127" s="14"/>
      <c r="T127" s="15"/>
      <c r="U127" s="12"/>
      <c r="V127" s="14"/>
      <c r="W127" s="15"/>
      <c r="X127" s="15"/>
      <c r="Y127" s="15"/>
      <c r="Z127" s="15"/>
      <c r="AA127" s="15"/>
      <c r="AB127" s="15"/>
      <c r="AC127" s="15"/>
      <c r="AD127" s="15"/>
      <c r="AE127" s="15"/>
      <c r="AF127" s="15"/>
      <c r="AG127" s="15"/>
      <c r="AH127" s="15"/>
      <c r="AI127" s="15"/>
      <c r="AJ127" s="15"/>
      <c r="AK127" s="15"/>
      <c r="AL127" s="15"/>
      <c r="AM127" s="124"/>
      <c r="AN127" s="15"/>
      <c r="AO127" s="15"/>
      <c r="AP127" s="15"/>
      <c r="AQ127" s="15"/>
      <c r="AR127" s="5"/>
      <c r="AS127" s="15"/>
      <c r="AT127" s="15"/>
      <c r="AU127" s="15"/>
      <c r="AV127" s="15"/>
      <c r="AW127" s="5"/>
      <c r="AX127" s="5"/>
      <c r="AY127" s="5"/>
      <c r="AZ127" s="5"/>
      <c r="BA127" s="5"/>
      <c r="BB127" s="5"/>
      <c r="BC127" s="5"/>
      <c r="BD127" s="5"/>
      <c r="BE127" s="98"/>
      <c r="BF127" s="98"/>
      <c r="BG127" s="98"/>
      <c r="BH127" s="98"/>
      <c r="BI127" s="98"/>
      <c r="BJ127" s="98"/>
      <c r="BK127" s="98"/>
      <c r="BL127" s="98"/>
      <c r="BM127" s="98"/>
      <c r="BN127" s="98"/>
      <c r="BO127" s="98"/>
      <c r="BP127" s="98"/>
      <c r="BQ127" s="98"/>
      <c r="BR127" s="98"/>
      <c r="BS127" s="98"/>
      <c r="BT127" s="98"/>
      <c r="BU127" s="98"/>
      <c r="BV127" s="98"/>
      <c r="BW127" s="98"/>
      <c r="BX127" s="98"/>
      <c r="BY127" s="98"/>
      <c r="BZ127" s="98"/>
      <c r="CA127" s="98"/>
      <c r="CB127" s="98"/>
      <c r="CC127" s="98"/>
    </row>
    <row r="128" ht="15.75" customHeight="1">
      <c r="A128" s="98"/>
      <c r="B128" s="98"/>
      <c r="C128" s="98"/>
      <c r="D128" s="98"/>
      <c r="E128" s="98"/>
      <c r="F128" s="98"/>
      <c r="G128" s="98"/>
      <c r="H128" s="98"/>
      <c r="I128" s="99"/>
      <c r="J128" s="99"/>
      <c r="K128" s="99"/>
      <c r="L128" s="99"/>
      <c r="M128" s="99"/>
      <c r="N128" s="14"/>
      <c r="O128" s="14"/>
      <c r="P128" s="123"/>
      <c r="Q128" s="14"/>
      <c r="R128" s="12"/>
      <c r="S128" s="14"/>
      <c r="T128" s="15"/>
      <c r="U128" s="12"/>
      <c r="V128" s="14"/>
      <c r="W128" s="15"/>
      <c r="X128" s="15"/>
      <c r="Y128" s="15"/>
      <c r="Z128" s="15"/>
      <c r="AA128" s="15"/>
      <c r="AB128" s="15"/>
      <c r="AC128" s="15"/>
      <c r="AD128" s="15"/>
      <c r="AE128" s="15"/>
      <c r="AF128" s="15"/>
      <c r="AG128" s="15"/>
      <c r="AH128" s="15"/>
      <c r="AI128" s="15"/>
      <c r="AJ128" s="15"/>
      <c r="AK128" s="15"/>
      <c r="AL128" s="15"/>
      <c r="AM128" s="124"/>
      <c r="AN128" s="15"/>
      <c r="AO128" s="15"/>
      <c r="AP128" s="15"/>
      <c r="AQ128" s="15"/>
      <c r="AR128" s="5"/>
      <c r="AS128" s="15"/>
      <c r="AT128" s="15"/>
      <c r="AU128" s="15"/>
      <c r="AV128" s="15"/>
      <c r="AW128" s="5"/>
      <c r="AX128" s="5"/>
      <c r="AY128" s="5"/>
      <c r="AZ128" s="5"/>
      <c r="BA128" s="5"/>
      <c r="BB128" s="5"/>
      <c r="BC128" s="5"/>
      <c r="BD128" s="5"/>
      <c r="BE128" s="98"/>
      <c r="BF128" s="98"/>
      <c r="BG128" s="98"/>
      <c r="BH128" s="98"/>
      <c r="BI128" s="98"/>
      <c r="BJ128" s="98"/>
      <c r="BK128" s="98"/>
      <c r="BL128" s="98"/>
      <c r="BM128" s="98"/>
      <c r="BN128" s="98"/>
      <c r="BO128" s="98"/>
      <c r="BP128" s="98"/>
      <c r="BQ128" s="98"/>
      <c r="BR128" s="98"/>
      <c r="BS128" s="98"/>
      <c r="BT128" s="98"/>
      <c r="BU128" s="98"/>
      <c r="BV128" s="98"/>
      <c r="BW128" s="98"/>
      <c r="BX128" s="98"/>
      <c r="BY128" s="98"/>
      <c r="BZ128" s="98"/>
      <c r="CA128" s="98"/>
      <c r="CB128" s="98"/>
      <c r="CC128" s="98"/>
    </row>
    <row r="129" ht="15.75" customHeight="1">
      <c r="A129" s="98"/>
      <c r="B129" s="98"/>
      <c r="C129" s="98"/>
      <c r="D129" s="98"/>
      <c r="E129" s="98"/>
      <c r="F129" s="98"/>
      <c r="G129" s="98"/>
      <c r="H129" s="98"/>
      <c r="I129" s="99"/>
      <c r="J129" s="99"/>
      <c r="K129" s="99"/>
      <c r="L129" s="99"/>
      <c r="M129" s="99"/>
      <c r="N129" s="14"/>
      <c r="O129" s="14"/>
      <c r="P129" s="123"/>
      <c r="Q129" s="14"/>
      <c r="R129" s="12"/>
      <c r="S129" s="14"/>
      <c r="T129" s="15"/>
      <c r="U129" s="12"/>
      <c r="V129" s="14"/>
      <c r="W129" s="15"/>
      <c r="X129" s="15"/>
      <c r="Y129" s="15"/>
      <c r="Z129" s="15"/>
      <c r="AA129" s="15"/>
      <c r="AB129" s="15"/>
      <c r="AC129" s="15"/>
      <c r="AD129" s="15"/>
      <c r="AE129" s="15"/>
      <c r="AF129" s="15"/>
      <c r="AG129" s="15"/>
      <c r="AH129" s="15"/>
      <c r="AI129" s="15"/>
      <c r="AJ129" s="15"/>
      <c r="AK129" s="15"/>
      <c r="AL129" s="15"/>
      <c r="AM129" s="124"/>
      <c r="AN129" s="15"/>
      <c r="AO129" s="15"/>
      <c r="AP129" s="15"/>
      <c r="AQ129" s="15"/>
      <c r="AR129" s="5"/>
      <c r="AS129" s="15"/>
      <c r="AT129" s="15"/>
      <c r="AU129" s="15"/>
      <c r="AV129" s="15"/>
      <c r="AW129" s="5"/>
      <c r="AX129" s="5"/>
      <c r="AY129" s="5"/>
      <c r="AZ129" s="5"/>
      <c r="BA129" s="5"/>
      <c r="BB129" s="5"/>
      <c r="BC129" s="5"/>
      <c r="BD129" s="5"/>
      <c r="BE129" s="98"/>
      <c r="BF129" s="98"/>
      <c r="BG129" s="98"/>
      <c r="BH129" s="98"/>
      <c r="BI129" s="98"/>
      <c r="BJ129" s="98"/>
      <c r="BK129" s="98"/>
      <c r="BL129" s="98"/>
      <c r="BM129" s="98"/>
      <c r="BN129" s="98"/>
      <c r="BO129" s="98"/>
      <c r="BP129" s="98"/>
      <c r="BQ129" s="98"/>
      <c r="BR129" s="98"/>
      <c r="BS129" s="98"/>
      <c r="BT129" s="98"/>
      <c r="BU129" s="98"/>
      <c r="BV129" s="98"/>
      <c r="BW129" s="98"/>
      <c r="BX129" s="98"/>
      <c r="BY129" s="98"/>
      <c r="BZ129" s="98"/>
      <c r="CA129" s="98"/>
      <c r="CB129" s="98"/>
      <c r="CC129" s="98"/>
    </row>
    <row r="130" ht="15.75" customHeight="1">
      <c r="A130" s="98"/>
      <c r="B130" s="98"/>
      <c r="C130" s="98"/>
      <c r="D130" s="98"/>
      <c r="E130" s="98"/>
      <c r="F130" s="98"/>
      <c r="G130" s="98"/>
      <c r="H130" s="98"/>
      <c r="I130" s="99"/>
      <c r="J130" s="99"/>
      <c r="K130" s="99"/>
      <c r="L130" s="99"/>
      <c r="M130" s="99"/>
      <c r="N130" s="14"/>
      <c r="O130" s="14"/>
      <c r="P130" s="123"/>
      <c r="Q130" s="14"/>
      <c r="R130" s="12"/>
      <c r="S130" s="14"/>
      <c r="T130" s="15"/>
      <c r="U130" s="12"/>
      <c r="V130" s="14"/>
      <c r="W130" s="15"/>
      <c r="X130" s="15"/>
      <c r="Y130" s="15"/>
      <c r="Z130" s="15"/>
      <c r="AA130" s="15"/>
      <c r="AB130" s="15"/>
      <c r="AC130" s="15"/>
      <c r="AD130" s="15"/>
      <c r="AE130" s="15"/>
      <c r="AF130" s="15"/>
      <c r="AG130" s="15"/>
      <c r="AH130" s="15"/>
      <c r="AI130" s="15"/>
      <c r="AJ130" s="15"/>
      <c r="AK130" s="15"/>
      <c r="AL130" s="15"/>
      <c r="AM130" s="124"/>
      <c r="AN130" s="15"/>
      <c r="AO130" s="15"/>
      <c r="AP130" s="15"/>
      <c r="AQ130" s="15"/>
      <c r="AR130" s="5"/>
      <c r="AS130" s="15"/>
      <c r="AT130" s="15"/>
      <c r="AU130" s="15"/>
      <c r="AV130" s="15"/>
      <c r="AW130" s="5"/>
      <c r="AX130" s="5"/>
      <c r="AY130" s="5"/>
      <c r="AZ130" s="5"/>
      <c r="BA130" s="5"/>
      <c r="BB130" s="5"/>
      <c r="BC130" s="5"/>
      <c r="BD130" s="5"/>
      <c r="BE130" s="98"/>
      <c r="BF130" s="98"/>
      <c r="BG130" s="98"/>
      <c r="BH130" s="98"/>
      <c r="BI130" s="98"/>
      <c r="BJ130" s="98"/>
      <c r="BK130" s="98"/>
      <c r="BL130" s="98"/>
      <c r="BM130" s="98"/>
      <c r="BN130" s="98"/>
      <c r="BO130" s="98"/>
      <c r="BP130" s="98"/>
      <c r="BQ130" s="98"/>
      <c r="BR130" s="98"/>
      <c r="BS130" s="98"/>
      <c r="BT130" s="98"/>
      <c r="BU130" s="98"/>
      <c r="BV130" s="98"/>
      <c r="BW130" s="98"/>
      <c r="BX130" s="98"/>
      <c r="BY130" s="98"/>
      <c r="BZ130" s="98"/>
      <c r="CA130" s="98"/>
      <c r="CB130" s="98"/>
      <c r="CC130" s="98"/>
    </row>
    <row r="131" ht="15.75" customHeight="1">
      <c r="A131" s="98"/>
      <c r="B131" s="98"/>
      <c r="C131" s="98"/>
      <c r="D131" s="98"/>
      <c r="E131" s="98"/>
      <c r="F131" s="98"/>
      <c r="G131" s="98"/>
      <c r="H131" s="98"/>
      <c r="I131" s="99"/>
      <c r="J131" s="99"/>
      <c r="K131" s="99"/>
      <c r="L131" s="99"/>
      <c r="M131" s="99"/>
      <c r="N131" s="14"/>
      <c r="O131" s="14"/>
      <c r="P131" s="123"/>
      <c r="Q131" s="14"/>
      <c r="R131" s="12"/>
      <c r="S131" s="14"/>
      <c r="T131" s="15"/>
      <c r="U131" s="12"/>
      <c r="V131" s="14"/>
      <c r="W131" s="15"/>
      <c r="X131" s="15"/>
      <c r="Y131" s="15"/>
      <c r="Z131" s="15"/>
      <c r="AA131" s="15"/>
      <c r="AB131" s="15"/>
      <c r="AC131" s="15"/>
      <c r="AD131" s="15"/>
      <c r="AE131" s="15"/>
      <c r="AF131" s="15"/>
      <c r="AG131" s="15"/>
      <c r="AH131" s="15"/>
      <c r="AI131" s="15"/>
      <c r="AJ131" s="15"/>
      <c r="AK131" s="15"/>
      <c r="AL131" s="15"/>
      <c r="AM131" s="124"/>
      <c r="AN131" s="15"/>
      <c r="AO131" s="15"/>
      <c r="AP131" s="15"/>
      <c r="AQ131" s="15"/>
      <c r="AR131" s="5"/>
      <c r="AS131" s="15"/>
      <c r="AT131" s="15"/>
      <c r="AU131" s="15"/>
      <c r="AV131" s="15"/>
      <c r="AW131" s="5"/>
      <c r="AX131" s="5"/>
      <c r="AY131" s="5"/>
      <c r="AZ131" s="5"/>
      <c r="BA131" s="5"/>
      <c r="BB131" s="5"/>
      <c r="BC131" s="5"/>
      <c r="BD131" s="5"/>
      <c r="BE131" s="98"/>
      <c r="BF131" s="98"/>
      <c r="BG131" s="98"/>
      <c r="BH131" s="98"/>
      <c r="BI131" s="98"/>
      <c r="BJ131" s="98"/>
      <c r="BK131" s="98"/>
      <c r="BL131" s="98"/>
      <c r="BM131" s="98"/>
      <c r="BN131" s="98"/>
      <c r="BO131" s="98"/>
      <c r="BP131" s="98"/>
      <c r="BQ131" s="98"/>
      <c r="BR131" s="98"/>
      <c r="BS131" s="98"/>
      <c r="BT131" s="98"/>
      <c r="BU131" s="98"/>
      <c r="BV131" s="98"/>
      <c r="BW131" s="98"/>
      <c r="BX131" s="98"/>
      <c r="BY131" s="98"/>
      <c r="BZ131" s="98"/>
      <c r="CA131" s="98"/>
      <c r="CB131" s="98"/>
      <c r="CC131" s="98"/>
    </row>
    <row r="132" ht="15.75" customHeight="1">
      <c r="A132" s="98"/>
      <c r="B132" s="98"/>
      <c r="C132" s="98"/>
      <c r="D132" s="98"/>
      <c r="E132" s="98"/>
      <c r="F132" s="98"/>
      <c r="G132" s="98"/>
      <c r="H132" s="98"/>
      <c r="I132" s="99"/>
      <c r="J132" s="99"/>
      <c r="K132" s="99"/>
      <c r="L132" s="99"/>
      <c r="M132" s="99"/>
      <c r="N132" s="14"/>
      <c r="O132" s="14"/>
      <c r="P132" s="123"/>
      <c r="Q132" s="14"/>
      <c r="R132" s="12"/>
      <c r="S132" s="14"/>
      <c r="T132" s="15"/>
      <c r="U132" s="12"/>
      <c r="V132" s="14"/>
      <c r="W132" s="15"/>
      <c r="X132" s="15"/>
      <c r="Y132" s="15"/>
      <c r="Z132" s="15"/>
      <c r="AA132" s="15"/>
      <c r="AB132" s="15"/>
      <c r="AC132" s="15"/>
      <c r="AD132" s="15"/>
      <c r="AE132" s="15"/>
      <c r="AF132" s="15"/>
      <c r="AG132" s="15"/>
      <c r="AH132" s="15"/>
      <c r="AI132" s="15"/>
      <c r="AJ132" s="15"/>
      <c r="AK132" s="15"/>
      <c r="AL132" s="15"/>
      <c r="AM132" s="124"/>
      <c r="AN132" s="15"/>
      <c r="AO132" s="15"/>
      <c r="AP132" s="15"/>
      <c r="AQ132" s="15"/>
      <c r="AR132" s="5"/>
      <c r="AS132" s="15"/>
      <c r="AT132" s="15"/>
      <c r="AU132" s="15"/>
      <c r="AV132" s="15"/>
      <c r="AW132" s="5"/>
      <c r="AX132" s="5"/>
      <c r="AY132" s="5"/>
      <c r="AZ132" s="5"/>
      <c r="BA132" s="5"/>
      <c r="BB132" s="5"/>
      <c r="BC132" s="5"/>
      <c r="BD132" s="5"/>
      <c r="BE132" s="98"/>
      <c r="BF132" s="98"/>
      <c r="BG132" s="98"/>
      <c r="BH132" s="98"/>
      <c r="BI132" s="98"/>
      <c r="BJ132" s="98"/>
      <c r="BK132" s="98"/>
      <c r="BL132" s="98"/>
      <c r="BM132" s="98"/>
      <c r="BN132" s="98"/>
      <c r="BO132" s="98"/>
      <c r="BP132" s="98"/>
      <c r="BQ132" s="98"/>
      <c r="BR132" s="98"/>
      <c r="BS132" s="98"/>
      <c r="BT132" s="98"/>
      <c r="BU132" s="98"/>
      <c r="BV132" s="98"/>
      <c r="BW132" s="98"/>
      <c r="BX132" s="98"/>
      <c r="BY132" s="98"/>
      <c r="BZ132" s="98"/>
      <c r="CA132" s="98"/>
      <c r="CB132" s="98"/>
      <c r="CC132" s="98"/>
    </row>
    <row r="133" ht="15.75" customHeight="1">
      <c r="A133" s="98"/>
      <c r="B133" s="98"/>
      <c r="C133" s="98"/>
      <c r="D133" s="98"/>
      <c r="E133" s="98"/>
      <c r="F133" s="98"/>
      <c r="G133" s="98"/>
      <c r="H133" s="98"/>
      <c r="I133" s="99"/>
      <c r="J133" s="99"/>
      <c r="K133" s="99"/>
      <c r="L133" s="99"/>
      <c r="M133" s="99"/>
      <c r="N133" s="14"/>
      <c r="O133" s="14"/>
      <c r="P133" s="123"/>
      <c r="Q133" s="14"/>
      <c r="R133" s="12"/>
      <c r="S133" s="14"/>
      <c r="T133" s="15"/>
      <c r="U133" s="12"/>
      <c r="V133" s="14"/>
      <c r="W133" s="15"/>
      <c r="X133" s="15"/>
      <c r="Y133" s="15"/>
      <c r="Z133" s="15"/>
      <c r="AA133" s="15"/>
      <c r="AB133" s="15"/>
      <c r="AC133" s="15"/>
      <c r="AD133" s="15"/>
      <c r="AE133" s="15"/>
      <c r="AF133" s="15"/>
      <c r="AG133" s="15"/>
      <c r="AH133" s="15"/>
      <c r="AI133" s="15"/>
      <c r="AJ133" s="15"/>
      <c r="AK133" s="15"/>
      <c r="AL133" s="15"/>
      <c r="AM133" s="124"/>
      <c r="AN133" s="15"/>
      <c r="AO133" s="15"/>
      <c r="AP133" s="15"/>
      <c r="AQ133" s="15"/>
      <c r="AR133" s="5"/>
      <c r="AS133" s="15"/>
      <c r="AT133" s="15"/>
      <c r="AU133" s="15"/>
      <c r="AV133" s="15"/>
      <c r="AW133" s="5"/>
      <c r="AX133" s="5"/>
      <c r="AY133" s="5"/>
      <c r="AZ133" s="5"/>
      <c r="BA133" s="5"/>
      <c r="BB133" s="5"/>
      <c r="BC133" s="5"/>
      <c r="BD133" s="5"/>
      <c r="BE133" s="98"/>
      <c r="BF133" s="98"/>
      <c r="BG133" s="98"/>
      <c r="BH133" s="98"/>
      <c r="BI133" s="98"/>
      <c r="BJ133" s="98"/>
      <c r="BK133" s="98"/>
      <c r="BL133" s="98"/>
      <c r="BM133" s="98"/>
      <c r="BN133" s="98"/>
      <c r="BO133" s="98"/>
      <c r="BP133" s="98"/>
      <c r="BQ133" s="98"/>
      <c r="BR133" s="98"/>
      <c r="BS133" s="98"/>
      <c r="BT133" s="98"/>
      <c r="BU133" s="98"/>
      <c r="BV133" s="98"/>
      <c r="BW133" s="98"/>
      <c r="BX133" s="98"/>
      <c r="BY133" s="98"/>
      <c r="BZ133" s="98"/>
      <c r="CA133" s="98"/>
      <c r="CB133" s="98"/>
      <c r="CC133" s="98"/>
    </row>
    <row r="134" ht="15.75" customHeight="1">
      <c r="A134" s="98"/>
      <c r="B134" s="98"/>
      <c r="C134" s="98"/>
      <c r="D134" s="98"/>
      <c r="E134" s="98"/>
      <c r="F134" s="98"/>
      <c r="G134" s="98"/>
      <c r="H134" s="98"/>
      <c r="I134" s="99"/>
      <c r="J134" s="99"/>
      <c r="K134" s="99"/>
      <c r="L134" s="99"/>
      <c r="M134" s="99"/>
      <c r="N134" s="14"/>
      <c r="O134" s="14"/>
      <c r="P134" s="123"/>
      <c r="Q134" s="14"/>
      <c r="R134" s="12"/>
      <c r="S134" s="14"/>
      <c r="T134" s="15"/>
      <c r="U134" s="12"/>
      <c r="V134" s="14"/>
      <c r="W134" s="15"/>
      <c r="X134" s="15"/>
      <c r="Y134" s="15"/>
      <c r="Z134" s="15"/>
      <c r="AA134" s="15"/>
      <c r="AB134" s="15"/>
      <c r="AC134" s="15"/>
      <c r="AD134" s="15"/>
      <c r="AE134" s="15"/>
      <c r="AF134" s="15"/>
      <c r="AG134" s="15"/>
      <c r="AH134" s="15"/>
      <c r="AI134" s="15"/>
      <c r="AJ134" s="15"/>
      <c r="AK134" s="15"/>
      <c r="AL134" s="15"/>
      <c r="AM134" s="124"/>
      <c r="AN134" s="15"/>
      <c r="AO134" s="15"/>
      <c r="AP134" s="15"/>
      <c r="AQ134" s="15"/>
      <c r="AR134" s="5"/>
      <c r="AS134" s="15"/>
      <c r="AT134" s="15"/>
      <c r="AU134" s="15"/>
      <c r="AV134" s="15"/>
      <c r="AW134" s="5"/>
      <c r="AX134" s="5"/>
      <c r="AY134" s="5"/>
      <c r="AZ134" s="5"/>
      <c r="BA134" s="5"/>
      <c r="BB134" s="5"/>
      <c r="BC134" s="5"/>
      <c r="BD134" s="5"/>
      <c r="BE134" s="98"/>
      <c r="BF134" s="98"/>
      <c r="BG134" s="98"/>
      <c r="BH134" s="98"/>
      <c r="BI134" s="98"/>
      <c r="BJ134" s="98"/>
      <c r="BK134" s="98"/>
      <c r="BL134" s="98"/>
      <c r="BM134" s="98"/>
      <c r="BN134" s="98"/>
      <c r="BO134" s="98"/>
      <c r="BP134" s="98"/>
      <c r="BQ134" s="98"/>
      <c r="BR134" s="98"/>
      <c r="BS134" s="98"/>
      <c r="BT134" s="98"/>
      <c r="BU134" s="98"/>
      <c r="BV134" s="98"/>
      <c r="BW134" s="98"/>
      <c r="BX134" s="98"/>
      <c r="BY134" s="98"/>
      <c r="BZ134" s="98"/>
      <c r="CA134" s="98"/>
      <c r="CB134" s="98"/>
      <c r="CC134" s="98"/>
    </row>
    <row r="135" ht="15.75" customHeight="1">
      <c r="A135" s="98"/>
      <c r="B135" s="98"/>
      <c r="C135" s="98"/>
      <c r="D135" s="98"/>
      <c r="E135" s="98"/>
      <c r="F135" s="98"/>
      <c r="G135" s="98"/>
      <c r="H135" s="98"/>
      <c r="I135" s="99"/>
      <c r="J135" s="99"/>
      <c r="K135" s="99"/>
      <c r="L135" s="99"/>
      <c r="M135" s="99"/>
      <c r="N135" s="14"/>
      <c r="O135" s="14"/>
      <c r="P135" s="123"/>
      <c r="Q135" s="14"/>
      <c r="R135" s="12"/>
      <c r="S135" s="14"/>
      <c r="T135" s="15"/>
      <c r="U135" s="12"/>
      <c r="V135" s="14"/>
      <c r="W135" s="15"/>
      <c r="X135" s="15"/>
      <c r="Y135" s="15"/>
      <c r="Z135" s="15"/>
      <c r="AA135" s="15"/>
      <c r="AB135" s="15"/>
      <c r="AC135" s="15"/>
      <c r="AD135" s="15"/>
      <c r="AE135" s="15"/>
      <c r="AF135" s="15"/>
      <c r="AG135" s="15"/>
      <c r="AH135" s="15"/>
      <c r="AI135" s="15"/>
      <c r="AJ135" s="15"/>
      <c r="AK135" s="15"/>
      <c r="AL135" s="15"/>
      <c r="AM135" s="124"/>
      <c r="AN135" s="15"/>
      <c r="AO135" s="15"/>
      <c r="AP135" s="15"/>
      <c r="AQ135" s="15"/>
      <c r="AR135" s="5"/>
      <c r="AS135" s="15"/>
      <c r="AT135" s="15"/>
      <c r="AU135" s="15"/>
      <c r="AV135" s="15"/>
      <c r="AW135" s="5"/>
      <c r="AX135" s="5"/>
      <c r="AY135" s="5"/>
      <c r="AZ135" s="5"/>
      <c r="BA135" s="5"/>
      <c r="BB135" s="5"/>
      <c r="BC135" s="5"/>
      <c r="BD135" s="5"/>
      <c r="BE135" s="98"/>
      <c r="BF135" s="98"/>
      <c r="BG135" s="98"/>
      <c r="BH135" s="98"/>
      <c r="BI135" s="98"/>
      <c r="BJ135" s="98"/>
      <c r="BK135" s="98"/>
      <c r="BL135" s="98"/>
      <c r="BM135" s="98"/>
      <c r="BN135" s="98"/>
      <c r="BO135" s="98"/>
      <c r="BP135" s="98"/>
      <c r="BQ135" s="98"/>
      <c r="BR135" s="98"/>
      <c r="BS135" s="98"/>
      <c r="BT135" s="98"/>
      <c r="BU135" s="98"/>
      <c r="BV135" s="98"/>
      <c r="BW135" s="98"/>
      <c r="BX135" s="98"/>
      <c r="BY135" s="98"/>
      <c r="BZ135" s="98"/>
      <c r="CA135" s="98"/>
      <c r="CB135" s="98"/>
      <c r="CC135" s="98"/>
    </row>
    <row r="136" ht="15.75" customHeight="1">
      <c r="A136" s="98"/>
      <c r="B136" s="98"/>
      <c r="C136" s="98"/>
      <c r="D136" s="98"/>
      <c r="E136" s="98"/>
      <c r="F136" s="98"/>
      <c r="G136" s="98"/>
      <c r="H136" s="98"/>
      <c r="I136" s="99"/>
      <c r="J136" s="99"/>
      <c r="K136" s="99"/>
      <c r="L136" s="99"/>
      <c r="M136" s="99"/>
      <c r="N136" s="14"/>
      <c r="O136" s="14"/>
      <c r="P136" s="123"/>
      <c r="Q136" s="14"/>
      <c r="R136" s="12"/>
      <c r="S136" s="14"/>
      <c r="T136" s="15"/>
      <c r="U136" s="12"/>
      <c r="V136" s="14"/>
      <c r="W136" s="15"/>
      <c r="X136" s="15"/>
      <c r="Y136" s="15"/>
      <c r="Z136" s="15"/>
      <c r="AA136" s="15"/>
      <c r="AB136" s="15"/>
      <c r="AC136" s="15"/>
      <c r="AD136" s="15"/>
      <c r="AE136" s="15"/>
      <c r="AF136" s="15"/>
      <c r="AG136" s="15"/>
      <c r="AH136" s="15"/>
      <c r="AI136" s="15"/>
      <c r="AJ136" s="15"/>
      <c r="AK136" s="15"/>
      <c r="AL136" s="15"/>
      <c r="AM136" s="124"/>
      <c r="AN136" s="15"/>
      <c r="AO136" s="15"/>
      <c r="AP136" s="15"/>
      <c r="AQ136" s="15"/>
      <c r="AR136" s="5"/>
      <c r="AS136" s="15"/>
      <c r="AT136" s="15"/>
      <c r="AU136" s="15"/>
      <c r="AV136" s="15"/>
      <c r="AW136" s="5"/>
      <c r="AX136" s="5"/>
      <c r="AY136" s="5"/>
      <c r="AZ136" s="5"/>
      <c r="BA136" s="5"/>
      <c r="BB136" s="5"/>
      <c r="BC136" s="5"/>
      <c r="BD136" s="5"/>
      <c r="BE136" s="98"/>
      <c r="BF136" s="98"/>
      <c r="BG136" s="98"/>
      <c r="BH136" s="98"/>
      <c r="BI136" s="98"/>
      <c r="BJ136" s="98"/>
      <c r="BK136" s="98"/>
      <c r="BL136" s="98"/>
      <c r="BM136" s="98"/>
      <c r="BN136" s="98"/>
      <c r="BO136" s="98"/>
      <c r="BP136" s="98"/>
      <c r="BQ136" s="98"/>
      <c r="BR136" s="98"/>
      <c r="BS136" s="98"/>
      <c r="BT136" s="98"/>
      <c r="BU136" s="98"/>
      <c r="BV136" s="98"/>
      <c r="BW136" s="98"/>
      <c r="BX136" s="98"/>
      <c r="BY136" s="98"/>
      <c r="BZ136" s="98"/>
      <c r="CA136" s="98"/>
      <c r="CB136" s="98"/>
      <c r="CC136" s="98"/>
    </row>
    <row r="137" ht="15.75" customHeight="1">
      <c r="A137" s="98"/>
      <c r="B137" s="98"/>
      <c r="C137" s="98"/>
      <c r="D137" s="98"/>
      <c r="E137" s="98"/>
      <c r="F137" s="98"/>
      <c r="G137" s="98"/>
      <c r="H137" s="98"/>
      <c r="I137" s="99"/>
      <c r="J137" s="99"/>
      <c r="K137" s="99"/>
      <c r="L137" s="99"/>
      <c r="M137" s="99"/>
      <c r="N137" s="99"/>
      <c r="O137" s="99"/>
      <c r="P137" s="162"/>
      <c r="Q137" s="163"/>
      <c r="R137" s="163"/>
      <c r="S137" s="163"/>
      <c r="T137" s="164"/>
      <c r="U137" s="163"/>
      <c r="V137" s="163"/>
      <c r="W137" s="164"/>
      <c r="X137" s="98"/>
      <c r="Y137" s="98"/>
      <c r="Z137" s="98"/>
      <c r="AA137" s="98"/>
      <c r="AB137" s="98"/>
      <c r="AC137" s="98"/>
      <c r="AD137" s="98"/>
      <c r="AE137" s="98"/>
      <c r="AF137" s="98"/>
      <c r="AG137" s="98"/>
      <c r="AH137" s="98"/>
      <c r="AI137" s="98"/>
      <c r="AJ137" s="98"/>
      <c r="AK137" s="98"/>
      <c r="AL137" s="98"/>
      <c r="AM137" s="98"/>
      <c r="AN137" s="98"/>
      <c r="AO137" s="98"/>
      <c r="AP137" s="98"/>
      <c r="AQ137" s="98"/>
      <c r="AR137" s="98"/>
      <c r="AS137" s="98"/>
      <c r="AT137" s="98"/>
      <c r="AU137" s="98"/>
      <c r="AV137" s="98"/>
      <c r="AW137" s="98"/>
      <c r="AX137" s="98"/>
      <c r="AY137" s="98"/>
      <c r="AZ137" s="98"/>
      <c r="BA137" s="98"/>
      <c r="BB137" s="98"/>
      <c r="BC137" s="98"/>
      <c r="BD137" s="98"/>
      <c r="BE137" s="98"/>
      <c r="BF137" s="98"/>
      <c r="BG137" s="98"/>
      <c r="BH137" s="98"/>
      <c r="BI137" s="98"/>
      <c r="BJ137" s="98"/>
      <c r="BK137" s="98"/>
      <c r="BL137" s="98"/>
      <c r="BM137" s="98"/>
      <c r="BN137" s="98"/>
      <c r="BO137" s="98"/>
      <c r="BP137" s="98"/>
      <c r="BQ137" s="98"/>
      <c r="BR137" s="98"/>
      <c r="BS137" s="98"/>
      <c r="BT137" s="98"/>
      <c r="BU137" s="98"/>
      <c r="BV137" s="98"/>
      <c r="BW137" s="98"/>
      <c r="BX137" s="98"/>
      <c r="BY137" s="98"/>
      <c r="BZ137" s="98"/>
      <c r="CA137" s="98"/>
      <c r="CB137" s="98"/>
      <c r="CC137" s="98"/>
    </row>
    <row r="138" ht="15.75" customHeight="1">
      <c r="A138" s="98"/>
      <c r="B138" s="98"/>
      <c r="C138" s="98"/>
      <c r="D138" s="98"/>
      <c r="E138" s="98"/>
      <c r="F138" s="98"/>
      <c r="G138" s="98"/>
      <c r="H138" s="98"/>
      <c r="I138" s="99"/>
      <c r="J138" s="99"/>
      <c r="K138" s="99"/>
      <c r="L138" s="99"/>
      <c r="M138" s="99"/>
      <c r="N138" s="99"/>
      <c r="O138" s="99"/>
      <c r="P138" s="162"/>
      <c r="Q138" s="163"/>
      <c r="R138" s="163"/>
      <c r="S138" s="163"/>
      <c r="T138" s="164"/>
      <c r="U138" s="163"/>
      <c r="V138" s="163"/>
      <c r="W138" s="164"/>
      <c r="X138" s="98"/>
      <c r="Y138" s="98"/>
      <c r="Z138" s="98"/>
      <c r="AA138" s="98"/>
      <c r="AB138" s="98"/>
      <c r="AC138" s="98"/>
      <c r="AD138" s="98"/>
      <c r="AE138" s="98"/>
      <c r="AF138" s="98"/>
      <c r="AG138" s="98"/>
      <c r="AH138" s="98"/>
      <c r="AI138" s="98"/>
      <c r="AJ138" s="98"/>
      <c r="AK138" s="98"/>
      <c r="AL138" s="98"/>
      <c r="AM138" s="98"/>
      <c r="AN138" s="98"/>
      <c r="AO138" s="98"/>
      <c r="AP138" s="98"/>
      <c r="AQ138" s="98"/>
      <c r="AR138" s="98"/>
      <c r="AS138" s="98"/>
      <c r="AT138" s="98"/>
      <c r="AU138" s="98"/>
      <c r="AV138" s="98"/>
      <c r="AW138" s="98"/>
      <c r="AX138" s="98"/>
      <c r="AY138" s="98"/>
      <c r="AZ138" s="98"/>
      <c r="BA138" s="98"/>
      <c r="BB138" s="98"/>
      <c r="BC138" s="98"/>
      <c r="BD138" s="98"/>
      <c r="BE138" s="98"/>
      <c r="BF138" s="98"/>
      <c r="BG138" s="98"/>
      <c r="BH138" s="98"/>
      <c r="BI138" s="98"/>
      <c r="BJ138" s="98"/>
      <c r="BK138" s="98"/>
      <c r="BL138" s="98"/>
      <c r="BM138" s="98"/>
      <c r="BN138" s="98"/>
      <c r="BO138" s="98"/>
      <c r="BP138" s="98"/>
      <c r="BQ138" s="98"/>
      <c r="BR138" s="98"/>
      <c r="BS138" s="98"/>
      <c r="BT138" s="98"/>
      <c r="BU138" s="98"/>
      <c r="BV138" s="98"/>
      <c r="BW138" s="98"/>
      <c r="BX138" s="98"/>
      <c r="BY138" s="98"/>
      <c r="BZ138" s="98"/>
      <c r="CA138" s="98"/>
      <c r="CB138" s="98"/>
      <c r="CC138" s="98"/>
    </row>
    <row r="139" ht="15.75" customHeight="1">
      <c r="A139" s="98"/>
      <c r="B139" s="98"/>
      <c r="C139" s="98"/>
      <c r="D139" s="98"/>
      <c r="E139" s="98"/>
      <c r="F139" s="98"/>
      <c r="G139" s="98"/>
      <c r="H139" s="98"/>
      <c r="I139" s="99"/>
      <c r="J139" s="99"/>
      <c r="K139" s="99"/>
      <c r="L139" s="99"/>
      <c r="M139" s="99"/>
      <c r="N139" s="99"/>
      <c r="O139" s="99"/>
      <c r="P139" s="162"/>
      <c r="Q139" s="163"/>
      <c r="R139" s="163"/>
      <c r="S139" s="163"/>
      <c r="T139" s="164"/>
      <c r="U139" s="163"/>
      <c r="V139" s="163"/>
      <c r="W139" s="164"/>
      <c r="X139" s="98"/>
      <c r="Y139" s="98"/>
      <c r="Z139" s="98"/>
      <c r="AA139" s="98"/>
      <c r="AB139" s="98"/>
      <c r="AC139" s="98"/>
      <c r="AD139" s="98"/>
      <c r="AE139" s="98"/>
      <c r="AF139" s="98"/>
      <c r="AG139" s="98"/>
      <c r="AH139" s="98"/>
      <c r="AI139" s="98"/>
      <c r="AJ139" s="98"/>
      <c r="AK139" s="98"/>
      <c r="AL139" s="98"/>
      <c r="AM139" s="98"/>
      <c r="AN139" s="98"/>
      <c r="AO139" s="98"/>
      <c r="AP139" s="98"/>
      <c r="AQ139" s="98"/>
      <c r="AR139" s="98"/>
      <c r="AS139" s="98"/>
      <c r="AT139" s="98"/>
      <c r="AU139" s="98"/>
      <c r="AV139" s="98"/>
      <c r="AW139" s="98"/>
      <c r="AX139" s="98"/>
      <c r="AY139" s="98"/>
      <c r="AZ139" s="98"/>
      <c r="BA139" s="98"/>
      <c r="BB139" s="98"/>
      <c r="BC139" s="98"/>
      <c r="BD139" s="98"/>
      <c r="BE139" s="98"/>
      <c r="BF139" s="98"/>
      <c r="BG139" s="98"/>
      <c r="BH139" s="98"/>
      <c r="BI139" s="98"/>
      <c r="BJ139" s="98"/>
      <c r="BK139" s="98"/>
      <c r="BL139" s="98"/>
      <c r="BM139" s="98"/>
      <c r="BN139" s="98"/>
      <c r="BO139" s="98"/>
      <c r="BP139" s="98"/>
      <c r="BQ139" s="98"/>
      <c r="BR139" s="98"/>
      <c r="BS139" s="98"/>
      <c r="BT139" s="98"/>
      <c r="BU139" s="98"/>
      <c r="BV139" s="98"/>
      <c r="BW139" s="98"/>
      <c r="BX139" s="98"/>
      <c r="BY139" s="98"/>
      <c r="BZ139" s="98"/>
      <c r="CA139" s="98"/>
      <c r="CB139" s="98"/>
      <c r="CC139" s="98"/>
    </row>
    <row r="140" ht="15.75" customHeight="1">
      <c r="A140" s="98"/>
      <c r="B140" s="98"/>
      <c r="C140" s="98"/>
      <c r="D140" s="98"/>
      <c r="E140" s="98"/>
      <c r="F140" s="98"/>
      <c r="G140" s="98"/>
      <c r="H140" s="98"/>
      <c r="I140" s="99"/>
      <c r="J140" s="99"/>
      <c r="K140" s="99"/>
      <c r="L140" s="99"/>
      <c r="M140" s="99"/>
      <c r="N140" s="99"/>
      <c r="O140" s="99"/>
      <c r="P140" s="162"/>
      <c r="Q140" s="163"/>
      <c r="R140" s="163"/>
      <c r="S140" s="163"/>
      <c r="T140" s="164"/>
      <c r="U140" s="163"/>
      <c r="V140" s="163"/>
      <c r="W140" s="164"/>
      <c r="X140" s="98"/>
      <c r="Y140" s="98"/>
      <c r="Z140" s="98"/>
      <c r="AA140" s="98"/>
      <c r="AB140" s="98"/>
      <c r="AC140" s="98"/>
      <c r="AD140" s="98"/>
      <c r="AE140" s="98"/>
      <c r="AF140" s="98"/>
      <c r="AG140" s="98"/>
      <c r="AH140" s="98"/>
      <c r="AI140" s="98"/>
      <c r="AJ140" s="98"/>
      <c r="AK140" s="98"/>
      <c r="AL140" s="98"/>
      <c r="AM140" s="98"/>
      <c r="AN140" s="98"/>
      <c r="AO140" s="98"/>
      <c r="AP140" s="98"/>
      <c r="AQ140" s="98"/>
      <c r="AR140" s="98"/>
      <c r="AS140" s="98"/>
      <c r="AT140" s="98"/>
      <c r="AU140" s="98"/>
      <c r="AV140" s="98"/>
      <c r="AW140" s="98"/>
      <c r="AX140" s="98"/>
      <c r="AY140" s="98"/>
      <c r="AZ140" s="98"/>
      <c r="BA140" s="98"/>
      <c r="BB140" s="98"/>
      <c r="BC140" s="98"/>
      <c r="BD140" s="98"/>
      <c r="BE140" s="98"/>
      <c r="BF140" s="98"/>
      <c r="BG140" s="98"/>
      <c r="BH140" s="98"/>
      <c r="BI140" s="98"/>
      <c r="BJ140" s="98"/>
      <c r="BK140" s="98"/>
      <c r="BL140" s="98"/>
      <c r="BM140" s="98"/>
      <c r="BN140" s="98"/>
      <c r="BO140" s="98"/>
      <c r="BP140" s="98"/>
      <c r="BQ140" s="98"/>
      <c r="BR140" s="98"/>
      <c r="BS140" s="98"/>
      <c r="BT140" s="98"/>
      <c r="BU140" s="98"/>
      <c r="BV140" s="98"/>
      <c r="BW140" s="98"/>
      <c r="BX140" s="98"/>
      <c r="BY140" s="98"/>
      <c r="BZ140" s="98"/>
      <c r="CA140" s="98"/>
      <c r="CB140" s="98"/>
      <c r="CC140" s="98"/>
    </row>
    <row r="141" ht="15.75" customHeight="1">
      <c r="A141" s="98"/>
      <c r="B141" s="98"/>
      <c r="C141" s="98"/>
      <c r="D141" s="98"/>
      <c r="E141" s="98"/>
      <c r="F141" s="98"/>
      <c r="G141" s="98"/>
      <c r="H141" s="98"/>
      <c r="I141" s="99"/>
      <c r="J141" s="99"/>
      <c r="K141" s="99"/>
      <c r="L141" s="99"/>
      <c r="M141" s="99"/>
      <c r="N141" s="99"/>
      <c r="O141" s="99"/>
      <c r="P141" s="162"/>
      <c r="Q141" s="163"/>
      <c r="R141" s="163"/>
      <c r="S141" s="163"/>
      <c r="T141" s="164"/>
      <c r="U141" s="163"/>
      <c r="V141" s="163"/>
      <c r="W141" s="164"/>
      <c r="X141" s="98"/>
      <c r="Y141" s="98"/>
      <c r="Z141" s="98"/>
      <c r="AA141" s="98"/>
      <c r="AB141" s="98"/>
      <c r="AC141" s="98"/>
      <c r="AD141" s="98"/>
      <c r="AE141" s="98"/>
      <c r="AF141" s="98"/>
      <c r="AG141" s="98"/>
      <c r="AH141" s="98"/>
      <c r="AI141" s="98"/>
      <c r="AJ141" s="98"/>
      <c r="AK141" s="98"/>
      <c r="AL141" s="98"/>
      <c r="AM141" s="98"/>
      <c r="AN141" s="98"/>
      <c r="AO141" s="98"/>
      <c r="AP141" s="98"/>
      <c r="AQ141" s="98"/>
      <c r="AR141" s="98"/>
      <c r="AS141" s="98"/>
      <c r="AT141" s="98"/>
      <c r="AU141" s="98"/>
      <c r="AV141" s="98"/>
      <c r="AW141" s="98"/>
      <c r="AX141" s="98"/>
      <c r="AY141" s="98"/>
      <c r="AZ141" s="98"/>
      <c r="BA141" s="98"/>
      <c r="BB141" s="98"/>
      <c r="BC141" s="98"/>
      <c r="BD141" s="98"/>
      <c r="BE141" s="98"/>
      <c r="BF141" s="98"/>
      <c r="BG141" s="98"/>
      <c r="BH141" s="98"/>
      <c r="BI141" s="98"/>
      <c r="BJ141" s="98"/>
      <c r="BK141" s="98"/>
      <c r="BL141" s="98"/>
      <c r="BM141" s="98"/>
      <c r="BN141" s="98"/>
      <c r="BO141" s="98"/>
      <c r="BP141" s="98"/>
      <c r="BQ141" s="98"/>
      <c r="BR141" s="98"/>
      <c r="BS141" s="98"/>
      <c r="BT141" s="98"/>
      <c r="BU141" s="98"/>
      <c r="BV141" s="98"/>
      <c r="BW141" s="98"/>
      <c r="BX141" s="98"/>
      <c r="BY141" s="98"/>
      <c r="BZ141" s="98"/>
      <c r="CA141" s="98"/>
      <c r="CB141" s="98"/>
      <c r="CC141" s="98"/>
    </row>
    <row r="142" ht="15.75" customHeight="1">
      <c r="A142" s="98"/>
      <c r="B142" s="98"/>
      <c r="C142" s="98"/>
      <c r="D142" s="98"/>
      <c r="E142" s="98"/>
      <c r="F142" s="98"/>
      <c r="G142" s="98"/>
      <c r="H142" s="98"/>
      <c r="I142" s="99"/>
      <c r="J142" s="99"/>
      <c r="K142" s="99"/>
      <c r="L142" s="99"/>
      <c r="M142" s="99"/>
      <c r="N142" s="99"/>
      <c r="O142" s="99"/>
      <c r="P142" s="162"/>
      <c r="Q142" s="163"/>
      <c r="R142" s="163"/>
      <c r="S142" s="163"/>
      <c r="T142" s="164"/>
      <c r="U142" s="163"/>
      <c r="V142" s="163"/>
      <c r="W142" s="164"/>
      <c r="X142" s="98"/>
      <c r="Y142" s="98"/>
      <c r="Z142" s="98"/>
      <c r="AA142" s="98"/>
      <c r="AB142" s="98"/>
      <c r="AC142" s="98"/>
      <c r="AD142" s="98"/>
      <c r="AE142" s="98"/>
      <c r="AF142" s="98"/>
      <c r="AG142" s="98"/>
      <c r="AH142" s="98"/>
      <c r="AI142" s="98"/>
      <c r="AJ142" s="98"/>
      <c r="AK142" s="98"/>
      <c r="AL142" s="98"/>
      <c r="AM142" s="98"/>
      <c r="AN142" s="98"/>
      <c r="AO142" s="98"/>
      <c r="AP142" s="98"/>
      <c r="AQ142" s="98"/>
      <c r="AR142" s="98"/>
      <c r="AS142" s="98"/>
      <c r="AT142" s="98"/>
      <c r="AU142" s="98"/>
      <c r="AV142" s="98"/>
      <c r="AW142" s="98"/>
      <c r="AX142" s="98"/>
      <c r="AY142" s="98"/>
      <c r="AZ142" s="98"/>
      <c r="BA142" s="98"/>
      <c r="BB142" s="98"/>
      <c r="BC142" s="98"/>
      <c r="BD142" s="98"/>
      <c r="BE142" s="98"/>
      <c r="BF142" s="98"/>
      <c r="BG142" s="98"/>
      <c r="BH142" s="98"/>
      <c r="BI142" s="98"/>
      <c r="BJ142" s="98"/>
      <c r="BK142" s="98"/>
      <c r="BL142" s="98"/>
      <c r="BM142" s="98"/>
      <c r="BN142" s="98"/>
      <c r="BO142" s="98"/>
      <c r="BP142" s="98"/>
      <c r="BQ142" s="98"/>
      <c r="BR142" s="98"/>
      <c r="BS142" s="98"/>
      <c r="BT142" s="98"/>
      <c r="BU142" s="98"/>
      <c r="BV142" s="98"/>
      <c r="BW142" s="98"/>
      <c r="BX142" s="98"/>
      <c r="BY142" s="98"/>
      <c r="BZ142" s="98"/>
      <c r="CA142" s="98"/>
      <c r="CB142" s="98"/>
      <c r="CC142" s="98"/>
    </row>
    <row r="143" ht="15.75" customHeight="1">
      <c r="A143" s="98"/>
      <c r="B143" s="98"/>
      <c r="C143" s="98"/>
      <c r="D143" s="98"/>
      <c r="E143" s="98"/>
      <c r="F143" s="98"/>
      <c r="G143" s="98"/>
      <c r="H143" s="98"/>
      <c r="I143" s="99"/>
      <c r="J143" s="99"/>
      <c r="K143" s="99"/>
      <c r="L143" s="99"/>
      <c r="M143" s="99"/>
      <c r="N143" s="99"/>
      <c r="O143" s="99"/>
      <c r="P143" s="162"/>
      <c r="Q143" s="163"/>
      <c r="R143" s="163"/>
      <c r="S143" s="163"/>
      <c r="T143" s="164"/>
      <c r="U143" s="163"/>
      <c r="V143" s="163"/>
      <c r="W143" s="164"/>
      <c r="X143" s="98"/>
      <c r="Y143" s="98"/>
      <c r="Z143" s="98"/>
      <c r="AA143" s="98"/>
      <c r="AB143" s="98"/>
      <c r="AC143" s="98"/>
      <c r="AD143" s="98"/>
      <c r="AE143" s="98"/>
      <c r="AF143" s="98"/>
      <c r="AG143" s="98"/>
      <c r="AH143" s="98"/>
      <c r="AI143" s="98"/>
      <c r="AJ143" s="98"/>
      <c r="AK143" s="98"/>
      <c r="AL143" s="98"/>
      <c r="AM143" s="98"/>
      <c r="AN143" s="98"/>
      <c r="AO143" s="98"/>
      <c r="AP143" s="98"/>
      <c r="AQ143" s="98"/>
      <c r="AR143" s="98"/>
      <c r="AS143" s="98"/>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c r="CB143" s="98"/>
      <c r="CC143" s="98"/>
    </row>
    <row r="144" ht="15.75" customHeight="1">
      <c r="A144" s="98"/>
      <c r="B144" s="98"/>
      <c r="C144" s="98"/>
      <c r="D144" s="98"/>
      <c r="E144" s="98"/>
      <c r="F144" s="98"/>
      <c r="G144" s="98"/>
      <c r="H144" s="98"/>
      <c r="I144" s="99"/>
      <c r="J144" s="99"/>
      <c r="K144" s="99"/>
      <c r="L144" s="99"/>
      <c r="M144" s="99"/>
      <c r="N144" s="99"/>
      <c r="O144" s="99"/>
      <c r="P144" s="162"/>
      <c r="Q144" s="163"/>
      <c r="R144" s="163"/>
      <c r="S144" s="163"/>
      <c r="T144" s="164"/>
      <c r="U144" s="163"/>
      <c r="V144" s="163"/>
      <c r="W144" s="164"/>
      <c r="X144" s="98"/>
      <c r="Y144" s="98"/>
      <c r="Z144" s="98"/>
      <c r="AA144" s="98"/>
      <c r="AB144" s="98"/>
      <c r="AC144" s="98"/>
      <c r="AD144" s="98"/>
      <c r="AE144" s="98"/>
      <c r="AF144" s="98"/>
      <c r="AG144" s="98"/>
      <c r="AH144" s="98"/>
      <c r="AI144" s="98"/>
      <c r="AJ144" s="98"/>
      <c r="AK144" s="98"/>
      <c r="AL144" s="98"/>
      <c r="AM144" s="98"/>
      <c r="AN144" s="98"/>
      <c r="AO144" s="98"/>
      <c r="AP144" s="98"/>
      <c r="AQ144" s="98"/>
      <c r="AR144" s="98"/>
      <c r="AS144" s="98"/>
      <c r="AT144" s="98"/>
      <c r="AU144" s="98"/>
      <c r="AV144" s="98"/>
      <c r="AW144" s="98"/>
      <c r="AX144" s="98"/>
      <c r="AY144" s="98"/>
      <c r="AZ144" s="98"/>
      <c r="BA144" s="98"/>
      <c r="BB144" s="98"/>
      <c r="BC144" s="98"/>
      <c r="BD144" s="98"/>
      <c r="BE144" s="98"/>
      <c r="BF144" s="98"/>
      <c r="BG144" s="98"/>
      <c r="BH144" s="98"/>
      <c r="BI144" s="98"/>
      <c r="BJ144" s="98"/>
      <c r="BK144" s="98"/>
      <c r="BL144" s="98"/>
      <c r="BM144" s="98"/>
      <c r="BN144" s="98"/>
      <c r="BO144" s="98"/>
      <c r="BP144" s="98"/>
      <c r="BQ144" s="98"/>
      <c r="BR144" s="98"/>
      <c r="BS144" s="98"/>
      <c r="BT144" s="98"/>
      <c r="BU144" s="98"/>
      <c r="BV144" s="98"/>
      <c r="BW144" s="98"/>
      <c r="BX144" s="98"/>
      <c r="BY144" s="98"/>
      <c r="BZ144" s="98"/>
      <c r="CA144" s="98"/>
      <c r="CB144" s="98"/>
      <c r="CC144" s="98"/>
    </row>
    <row r="145" ht="15.75" customHeight="1">
      <c r="A145" s="98"/>
      <c r="B145" s="98"/>
      <c r="C145" s="98"/>
      <c r="D145" s="98"/>
      <c r="E145" s="98"/>
      <c r="F145" s="98"/>
      <c r="G145" s="98"/>
      <c r="H145" s="98"/>
      <c r="I145" s="99"/>
      <c r="J145" s="99"/>
      <c r="K145" s="99"/>
      <c r="L145" s="99"/>
      <c r="M145" s="99"/>
      <c r="N145" s="99"/>
      <c r="O145" s="99"/>
      <c r="P145" s="162"/>
      <c r="Q145" s="163"/>
      <c r="R145" s="163"/>
      <c r="S145" s="163"/>
      <c r="T145" s="164"/>
      <c r="U145" s="163"/>
      <c r="V145" s="163"/>
      <c r="W145" s="164"/>
      <c r="X145" s="98"/>
      <c r="Y145" s="98"/>
      <c r="Z145" s="98"/>
      <c r="AA145" s="98"/>
      <c r="AB145" s="98"/>
      <c r="AC145" s="98"/>
      <c r="AD145" s="98"/>
      <c r="AE145" s="98"/>
      <c r="AF145" s="98"/>
      <c r="AG145" s="98"/>
      <c r="AH145" s="98"/>
      <c r="AI145" s="98"/>
      <c r="AJ145" s="98"/>
      <c r="AK145" s="98"/>
      <c r="AL145" s="98"/>
      <c r="AM145" s="98"/>
      <c r="AN145" s="98"/>
      <c r="AO145" s="98"/>
      <c r="AP145" s="98"/>
      <c r="AQ145" s="98"/>
      <c r="AR145" s="98"/>
      <c r="AS145" s="98"/>
      <c r="AT145" s="98"/>
      <c r="AU145" s="98"/>
      <c r="AV145" s="98"/>
      <c r="AW145" s="98"/>
      <c r="AX145" s="98"/>
      <c r="AY145" s="98"/>
      <c r="AZ145" s="98"/>
      <c r="BA145" s="98"/>
      <c r="BB145" s="98"/>
      <c r="BC145" s="98"/>
      <c r="BD145" s="98"/>
      <c r="BE145" s="98"/>
      <c r="BF145" s="98"/>
      <c r="BG145" s="98"/>
      <c r="BH145" s="98"/>
      <c r="BI145" s="98"/>
      <c r="BJ145" s="98"/>
      <c r="BK145" s="98"/>
      <c r="BL145" s="98"/>
      <c r="BM145" s="98"/>
      <c r="BN145" s="98"/>
      <c r="BO145" s="98"/>
      <c r="BP145" s="98"/>
      <c r="BQ145" s="98"/>
      <c r="BR145" s="98"/>
      <c r="BS145" s="98"/>
      <c r="BT145" s="98"/>
      <c r="BU145" s="98"/>
      <c r="BV145" s="98"/>
      <c r="BW145" s="98"/>
      <c r="BX145" s="98"/>
      <c r="BY145" s="98"/>
      <c r="BZ145" s="98"/>
      <c r="CA145" s="98"/>
      <c r="CB145" s="98"/>
      <c r="CC145" s="98"/>
    </row>
    <row r="146" ht="15.75" customHeight="1">
      <c r="A146" s="98"/>
      <c r="B146" s="98"/>
      <c r="C146" s="98"/>
      <c r="D146" s="98"/>
      <c r="E146" s="98"/>
      <c r="F146" s="98"/>
      <c r="G146" s="98"/>
      <c r="H146" s="98"/>
      <c r="I146" s="99"/>
      <c r="J146" s="99"/>
      <c r="K146" s="99"/>
      <c r="L146" s="99"/>
      <c r="M146" s="99"/>
      <c r="N146" s="99"/>
      <c r="O146" s="99"/>
      <c r="P146" s="162"/>
      <c r="Q146" s="163"/>
      <c r="R146" s="163"/>
      <c r="S146" s="163"/>
      <c r="T146" s="164"/>
      <c r="U146" s="163"/>
      <c r="V146" s="163"/>
      <c r="W146" s="164"/>
      <c r="X146" s="98"/>
      <c r="Y146" s="98"/>
      <c r="Z146" s="98"/>
      <c r="AA146" s="98"/>
      <c r="AB146" s="98"/>
      <c r="AC146" s="98"/>
      <c r="AD146" s="98"/>
      <c r="AE146" s="98"/>
      <c r="AF146" s="98"/>
      <c r="AG146" s="98"/>
      <c r="AH146" s="98"/>
      <c r="AI146" s="98"/>
      <c r="AJ146" s="98"/>
      <c r="AK146" s="98"/>
      <c r="AL146" s="98"/>
      <c r="AM146" s="98"/>
      <c r="AN146" s="98"/>
      <c r="AO146" s="98"/>
      <c r="AP146" s="98"/>
      <c r="AQ146" s="98"/>
      <c r="AR146" s="98"/>
      <c r="AS146" s="98"/>
      <c r="AT146" s="98"/>
      <c r="AU146" s="98"/>
      <c r="AV146" s="98"/>
      <c r="AW146" s="98"/>
      <c r="AX146" s="98"/>
      <c r="AY146" s="98"/>
      <c r="AZ146" s="98"/>
      <c r="BA146" s="98"/>
      <c r="BB146" s="98"/>
      <c r="BC146" s="98"/>
      <c r="BD146" s="98"/>
      <c r="BE146" s="98"/>
      <c r="BF146" s="98"/>
      <c r="BG146" s="98"/>
      <c r="BH146" s="98"/>
      <c r="BI146" s="98"/>
      <c r="BJ146" s="98"/>
      <c r="BK146" s="98"/>
      <c r="BL146" s="98"/>
      <c r="BM146" s="98"/>
      <c r="BN146" s="98"/>
      <c r="BO146" s="98"/>
      <c r="BP146" s="98"/>
      <c r="BQ146" s="98"/>
      <c r="BR146" s="98"/>
      <c r="BS146" s="98"/>
      <c r="BT146" s="98"/>
      <c r="BU146" s="98"/>
      <c r="BV146" s="98"/>
      <c r="BW146" s="98"/>
      <c r="BX146" s="98"/>
      <c r="BY146" s="98"/>
      <c r="BZ146" s="98"/>
      <c r="CA146" s="98"/>
      <c r="CB146" s="98"/>
      <c r="CC146" s="98"/>
    </row>
    <row r="147" ht="15.75" customHeight="1">
      <c r="A147" s="98"/>
      <c r="B147" s="98"/>
      <c r="C147" s="98"/>
      <c r="D147" s="98"/>
      <c r="E147" s="98"/>
      <c r="F147" s="98"/>
      <c r="G147" s="98"/>
      <c r="H147" s="98"/>
      <c r="I147" s="99"/>
      <c r="J147" s="99"/>
      <c r="K147" s="99"/>
      <c r="L147" s="99"/>
      <c r="M147" s="99"/>
      <c r="N147" s="99"/>
      <c r="O147" s="99"/>
      <c r="P147" s="162"/>
      <c r="Q147" s="163"/>
      <c r="R147" s="163"/>
      <c r="S147" s="163"/>
      <c r="T147" s="164"/>
      <c r="U147" s="163"/>
      <c r="V147" s="163"/>
      <c r="W147" s="164"/>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8"/>
      <c r="BU147" s="98"/>
      <c r="BV147" s="98"/>
      <c r="BW147" s="98"/>
      <c r="BX147" s="98"/>
      <c r="BY147" s="98"/>
      <c r="BZ147" s="98"/>
      <c r="CA147" s="98"/>
      <c r="CB147" s="98"/>
      <c r="CC147" s="98"/>
    </row>
    <row r="148" ht="15.75" customHeight="1">
      <c r="A148" s="98"/>
      <c r="B148" s="98"/>
      <c r="C148" s="98"/>
      <c r="D148" s="98"/>
      <c r="E148" s="98"/>
      <c r="F148" s="98"/>
      <c r="G148" s="98"/>
      <c r="H148" s="98"/>
      <c r="I148" s="99"/>
      <c r="J148" s="99"/>
      <c r="K148" s="99"/>
      <c r="L148" s="99"/>
      <c r="M148" s="99"/>
      <c r="N148" s="99"/>
      <c r="O148" s="99"/>
      <c r="P148" s="162"/>
      <c r="Q148" s="163"/>
      <c r="R148" s="163"/>
      <c r="S148" s="163"/>
      <c r="T148" s="164"/>
      <c r="U148" s="163"/>
      <c r="V148" s="163"/>
      <c r="W148" s="164"/>
      <c r="X148" s="98"/>
      <c r="Y148" s="98"/>
      <c r="Z148" s="98"/>
      <c r="AA148" s="98"/>
      <c r="AB148" s="98"/>
      <c r="AC148" s="98"/>
      <c r="AD148" s="98"/>
      <c r="AE148" s="98"/>
      <c r="AF148" s="98"/>
      <c r="AG148" s="98"/>
      <c r="AH148" s="98"/>
      <c r="AI148" s="98"/>
      <c r="AJ148" s="98"/>
      <c r="AK148" s="98"/>
      <c r="AL148" s="98"/>
      <c r="AM148" s="98"/>
      <c r="AN148" s="98"/>
      <c r="AO148" s="98"/>
      <c r="AP148" s="98"/>
      <c r="AQ148" s="98"/>
      <c r="AR148" s="98"/>
      <c r="AS148" s="98"/>
      <c r="AT148" s="98"/>
      <c r="AU148" s="98"/>
      <c r="AV148" s="98"/>
      <c r="AW148" s="98"/>
      <c r="AX148" s="98"/>
      <c r="AY148" s="98"/>
      <c r="AZ148" s="98"/>
      <c r="BA148" s="98"/>
      <c r="BB148" s="98"/>
      <c r="BC148" s="98"/>
      <c r="BD148" s="98"/>
      <c r="BE148" s="98"/>
      <c r="BF148" s="98"/>
      <c r="BG148" s="98"/>
      <c r="BH148" s="98"/>
      <c r="BI148" s="98"/>
      <c r="BJ148" s="98"/>
      <c r="BK148" s="98"/>
      <c r="BL148" s="98"/>
      <c r="BM148" s="98"/>
      <c r="BN148" s="98"/>
      <c r="BO148" s="98"/>
      <c r="BP148" s="98"/>
      <c r="BQ148" s="98"/>
      <c r="BR148" s="98"/>
      <c r="BS148" s="98"/>
      <c r="BT148" s="98"/>
      <c r="BU148" s="98"/>
      <c r="BV148" s="98"/>
      <c r="BW148" s="98"/>
      <c r="BX148" s="98"/>
      <c r="BY148" s="98"/>
      <c r="BZ148" s="98"/>
      <c r="CA148" s="98"/>
      <c r="CB148" s="98"/>
      <c r="CC148" s="98"/>
    </row>
    <row r="149" ht="15.75" customHeight="1">
      <c r="A149" s="98"/>
      <c r="B149" s="98"/>
      <c r="C149" s="98"/>
      <c r="D149" s="98"/>
      <c r="E149" s="98"/>
      <c r="F149" s="98"/>
      <c r="G149" s="98"/>
      <c r="H149" s="98"/>
      <c r="I149" s="99"/>
      <c r="J149" s="99"/>
      <c r="K149" s="99"/>
      <c r="L149" s="99"/>
      <c r="M149" s="99"/>
      <c r="N149" s="99"/>
      <c r="O149" s="99"/>
      <c r="P149" s="162"/>
      <c r="Q149" s="163"/>
      <c r="R149" s="163"/>
      <c r="S149" s="163"/>
      <c r="T149" s="164"/>
      <c r="U149" s="163"/>
      <c r="V149" s="163"/>
      <c r="W149" s="164"/>
      <c r="X149" s="98"/>
      <c r="Y149" s="98"/>
      <c r="Z149" s="98"/>
      <c r="AA149" s="98"/>
      <c r="AB149" s="98"/>
      <c r="AC149" s="98"/>
      <c r="AD149" s="98"/>
      <c r="AE149" s="98"/>
      <c r="AF149" s="98"/>
      <c r="AG149" s="98"/>
      <c r="AH149" s="98"/>
      <c r="AI149" s="98"/>
      <c r="AJ149" s="98"/>
      <c r="AK149" s="98"/>
      <c r="AL149" s="98"/>
      <c r="AM149" s="98"/>
      <c r="AN149" s="98"/>
      <c r="AO149" s="98"/>
      <c r="AP149" s="98"/>
      <c r="AQ149" s="98"/>
      <c r="AR149" s="98"/>
      <c r="AS149" s="98"/>
      <c r="AT149" s="98"/>
      <c r="AU149" s="98"/>
      <c r="AV149" s="98"/>
      <c r="AW149" s="98"/>
      <c r="AX149" s="98"/>
      <c r="AY149" s="98"/>
      <c r="AZ149" s="98"/>
      <c r="BA149" s="98"/>
      <c r="BB149" s="98"/>
      <c r="BC149" s="98"/>
      <c r="BD149" s="98"/>
      <c r="BE149" s="98"/>
      <c r="BF149" s="98"/>
      <c r="BG149" s="98"/>
      <c r="BH149" s="98"/>
      <c r="BI149" s="98"/>
      <c r="BJ149" s="98"/>
      <c r="BK149" s="98"/>
      <c r="BL149" s="98"/>
      <c r="BM149" s="98"/>
      <c r="BN149" s="98"/>
      <c r="BO149" s="98"/>
      <c r="BP149" s="98"/>
      <c r="BQ149" s="98"/>
      <c r="BR149" s="98"/>
      <c r="BS149" s="98"/>
      <c r="BT149" s="98"/>
      <c r="BU149" s="98"/>
      <c r="BV149" s="98"/>
      <c r="BW149" s="98"/>
      <c r="BX149" s="98"/>
      <c r="BY149" s="98"/>
      <c r="BZ149" s="98"/>
      <c r="CA149" s="98"/>
      <c r="CB149" s="98"/>
      <c r="CC149" s="98"/>
    </row>
    <row r="150" ht="15.75" customHeight="1">
      <c r="A150" s="98"/>
      <c r="B150" s="98"/>
      <c r="C150" s="98"/>
      <c r="D150" s="98"/>
      <c r="E150" s="98"/>
      <c r="F150" s="98"/>
      <c r="G150" s="98"/>
      <c r="H150" s="98"/>
      <c r="I150" s="99"/>
      <c r="J150" s="99"/>
      <c r="K150" s="99"/>
      <c r="L150" s="99"/>
      <c r="M150" s="99"/>
      <c r="N150" s="99"/>
      <c r="O150" s="99"/>
      <c r="P150" s="162"/>
      <c r="Q150" s="163"/>
      <c r="R150" s="163"/>
      <c r="S150" s="163"/>
      <c r="T150" s="164"/>
      <c r="U150" s="163"/>
      <c r="V150" s="163"/>
      <c r="W150" s="164"/>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8"/>
      <c r="AU150" s="98"/>
      <c r="AV150" s="98"/>
      <c r="AW150" s="98"/>
      <c r="AX150" s="98"/>
      <c r="AY150" s="98"/>
      <c r="AZ150" s="98"/>
      <c r="BA150" s="98"/>
      <c r="BB150" s="98"/>
      <c r="BC150" s="98"/>
      <c r="BD150" s="98"/>
      <c r="BE150" s="98"/>
      <c r="BF150" s="98"/>
      <c r="BG150" s="98"/>
      <c r="BH150" s="98"/>
      <c r="BI150" s="98"/>
      <c r="BJ150" s="98"/>
      <c r="BK150" s="98"/>
      <c r="BL150" s="98"/>
      <c r="BM150" s="98"/>
      <c r="BN150" s="98"/>
      <c r="BO150" s="98"/>
      <c r="BP150" s="98"/>
      <c r="BQ150" s="98"/>
      <c r="BR150" s="98"/>
      <c r="BS150" s="98"/>
      <c r="BT150" s="98"/>
      <c r="BU150" s="98"/>
      <c r="BV150" s="98"/>
      <c r="BW150" s="98"/>
      <c r="BX150" s="98"/>
      <c r="BY150" s="98"/>
      <c r="BZ150" s="98"/>
      <c r="CA150" s="98"/>
      <c r="CB150" s="98"/>
      <c r="CC150" s="98"/>
    </row>
    <row r="151" ht="15.75" customHeight="1">
      <c r="A151" s="98"/>
      <c r="B151" s="98"/>
      <c r="C151" s="98"/>
      <c r="D151" s="98"/>
      <c r="E151" s="98"/>
      <c r="F151" s="98"/>
      <c r="G151" s="98"/>
      <c r="H151" s="98"/>
      <c r="I151" s="99"/>
      <c r="J151" s="99"/>
      <c r="K151" s="99"/>
      <c r="L151" s="99"/>
      <c r="M151" s="99"/>
      <c r="N151" s="99"/>
      <c r="O151" s="99"/>
      <c r="P151" s="162"/>
      <c r="Q151" s="163"/>
      <c r="R151" s="163"/>
      <c r="S151" s="163"/>
      <c r="T151" s="164"/>
      <c r="U151" s="163"/>
      <c r="V151" s="163"/>
      <c r="W151" s="164"/>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8"/>
      <c r="AU151" s="98"/>
      <c r="AV151" s="98"/>
      <c r="AW151" s="98"/>
      <c r="AX151" s="98"/>
      <c r="AY151" s="98"/>
      <c r="AZ151" s="98"/>
      <c r="BA151" s="98"/>
      <c r="BB151" s="98"/>
      <c r="BC151" s="98"/>
      <c r="BD151" s="98"/>
      <c r="BE151" s="98"/>
      <c r="BF151" s="98"/>
      <c r="BG151" s="98"/>
      <c r="BH151" s="98"/>
      <c r="BI151" s="98"/>
      <c r="BJ151" s="98"/>
      <c r="BK151" s="98"/>
      <c r="BL151" s="98"/>
      <c r="BM151" s="98"/>
      <c r="BN151" s="98"/>
      <c r="BO151" s="98"/>
      <c r="BP151" s="98"/>
      <c r="BQ151" s="98"/>
      <c r="BR151" s="98"/>
      <c r="BS151" s="98"/>
      <c r="BT151" s="98"/>
      <c r="BU151" s="98"/>
      <c r="BV151" s="98"/>
      <c r="BW151" s="98"/>
      <c r="BX151" s="98"/>
      <c r="BY151" s="98"/>
      <c r="BZ151" s="98"/>
      <c r="CA151" s="98"/>
      <c r="CB151" s="98"/>
      <c r="CC151" s="98"/>
    </row>
    <row r="152" ht="15.75" customHeight="1">
      <c r="A152" s="98"/>
      <c r="B152" s="98"/>
      <c r="C152" s="98"/>
      <c r="D152" s="98"/>
      <c r="E152" s="98"/>
      <c r="F152" s="98"/>
      <c r="G152" s="98"/>
      <c r="H152" s="98"/>
      <c r="I152" s="99"/>
      <c r="J152" s="99"/>
      <c r="K152" s="99"/>
      <c r="L152" s="99"/>
      <c r="M152" s="99"/>
      <c r="N152" s="99"/>
      <c r="O152" s="99"/>
      <c r="P152" s="162"/>
      <c r="Q152" s="163"/>
      <c r="R152" s="163"/>
      <c r="S152" s="163"/>
      <c r="T152" s="164"/>
      <c r="U152" s="163"/>
      <c r="V152" s="163"/>
      <c r="W152" s="164"/>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8"/>
      <c r="AU152" s="98"/>
      <c r="AV152" s="98"/>
      <c r="AW152" s="98"/>
      <c r="AX152" s="98"/>
      <c r="AY152" s="98"/>
      <c r="AZ152" s="98"/>
      <c r="BA152" s="98"/>
      <c r="BB152" s="98"/>
      <c r="BC152" s="98"/>
      <c r="BD152" s="98"/>
      <c r="BE152" s="98"/>
      <c r="BF152" s="98"/>
      <c r="BG152" s="98"/>
      <c r="BH152" s="98"/>
      <c r="BI152" s="98"/>
      <c r="BJ152" s="98"/>
      <c r="BK152" s="98"/>
      <c r="BL152" s="98"/>
      <c r="BM152" s="98"/>
      <c r="BN152" s="98"/>
      <c r="BO152" s="98"/>
      <c r="BP152" s="98"/>
      <c r="BQ152" s="98"/>
      <c r="BR152" s="98"/>
      <c r="BS152" s="98"/>
      <c r="BT152" s="98"/>
      <c r="BU152" s="98"/>
      <c r="BV152" s="98"/>
      <c r="BW152" s="98"/>
      <c r="BX152" s="98"/>
      <c r="BY152" s="98"/>
      <c r="BZ152" s="98"/>
      <c r="CA152" s="98"/>
      <c r="CB152" s="98"/>
      <c r="CC152" s="98"/>
    </row>
    <row r="153" ht="15.75" customHeight="1">
      <c r="A153" s="98"/>
      <c r="B153" s="98"/>
      <c r="C153" s="98"/>
      <c r="D153" s="98"/>
      <c r="E153" s="98"/>
      <c r="F153" s="98"/>
      <c r="G153" s="98"/>
      <c r="H153" s="98"/>
      <c r="I153" s="99"/>
      <c r="J153" s="99"/>
      <c r="K153" s="99"/>
      <c r="L153" s="99"/>
      <c r="M153" s="99"/>
      <c r="N153" s="99"/>
      <c r="O153" s="99"/>
      <c r="P153" s="162"/>
      <c r="Q153" s="163"/>
      <c r="R153" s="163"/>
      <c r="S153" s="163"/>
      <c r="T153" s="164"/>
      <c r="U153" s="163"/>
      <c r="V153" s="163"/>
      <c r="W153" s="164"/>
      <c r="X153" s="98"/>
      <c r="Y153" s="98"/>
      <c r="Z153" s="98"/>
      <c r="AA153" s="98"/>
      <c r="AB153" s="98"/>
      <c r="AC153" s="98"/>
      <c r="AD153" s="98"/>
      <c r="AE153" s="98"/>
      <c r="AF153" s="98"/>
      <c r="AG153" s="98"/>
      <c r="AH153" s="98"/>
      <c r="AI153" s="98"/>
      <c r="AJ153" s="98"/>
      <c r="AK153" s="98"/>
      <c r="AL153" s="98"/>
      <c r="AM153" s="98"/>
      <c r="AN153" s="98"/>
      <c r="AO153" s="98"/>
      <c r="AP153" s="98"/>
      <c r="AQ153" s="98"/>
      <c r="AR153" s="98"/>
      <c r="AS153" s="98"/>
      <c r="AT153" s="98"/>
      <c r="AU153" s="98"/>
      <c r="AV153" s="98"/>
      <c r="AW153" s="98"/>
      <c r="AX153" s="98"/>
      <c r="AY153" s="98"/>
      <c r="AZ153" s="98"/>
      <c r="BA153" s="98"/>
      <c r="BB153" s="98"/>
      <c r="BC153" s="98"/>
      <c r="BD153" s="98"/>
      <c r="BE153" s="98"/>
      <c r="BF153" s="98"/>
      <c r="BG153" s="98"/>
      <c r="BH153" s="98"/>
      <c r="BI153" s="98"/>
      <c r="BJ153" s="98"/>
      <c r="BK153" s="98"/>
      <c r="BL153" s="98"/>
      <c r="BM153" s="98"/>
      <c r="BN153" s="98"/>
      <c r="BO153" s="98"/>
      <c r="BP153" s="98"/>
      <c r="BQ153" s="98"/>
      <c r="BR153" s="98"/>
      <c r="BS153" s="98"/>
      <c r="BT153" s="98"/>
      <c r="BU153" s="98"/>
      <c r="BV153" s="98"/>
      <c r="BW153" s="98"/>
      <c r="BX153" s="98"/>
      <c r="BY153" s="98"/>
      <c r="BZ153" s="98"/>
      <c r="CA153" s="98"/>
      <c r="CB153" s="98"/>
      <c r="CC153" s="98"/>
    </row>
    <row r="154" ht="15.75" customHeight="1">
      <c r="A154" s="98"/>
      <c r="B154" s="98"/>
      <c r="C154" s="98"/>
      <c r="D154" s="98"/>
      <c r="E154" s="98"/>
      <c r="F154" s="98"/>
      <c r="G154" s="98"/>
      <c r="H154" s="98"/>
      <c r="I154" s="99"/>
      <c r="J154" s="99"/>
      <c r="K154" s="99"/>
      <c r="L154" s="99"/>
      <c r="M154" s="99"/>
      <c r="N154" s="99"/>
      <c r="O154" s="99"/>
      <c r="P154" s="162"/>
      <c r="Q154" s="163"/>
      <c r="R154" s="163"/>
      <c r="S154" s="163"/>
      <c r="T154" s="164"/>
      <c r="U154" s="163"/>
      <c r="V154" s="163"/>
      <c r="W154" s="164"/>
      <c r="X154" s="98"/>
      <c r="Y154" s="98"/>
      <c r="Z154" s="98"/>
      <c r="AA154" s="98"/>
      <c r="AB154" s="98"/>
      <c r="AC154" s="98"/>
      <c r="AD154" s="98"/>
      <c r="AE154" s="98"/>
      <c r="AF154" s="98"/>
      <c r="AG154" s="98"/>
      <c r="AH154" s="98"/>
      <c r="AI154" s="98"/>
      <c r="AJ154" s="98"/>
      <c r="AK154" s="98"/>
      <c r="AL154" s="98"/>
      <c r="AM154" s="98"/>
      <c r="AN154" s="98"/>
      <c r="AO154" s="98"/>
      <c r="AP154" s="98"/>
      <c r="AQ154" s="98"/>
      <c r="AR154" s="98"/>
      <c r="AS154" s="98"/>
      <c r="AT154" s="98"/>
      <c r="AU154" s="98"/>
      <c r="AV154" s="98"/>
      <c r="AW154" s="98"/>
      <c r="AX154" s="98"/>
      <c r="AY154" s="98"/>
      <c r="AZ154" s="98"/>
      <c r="BA154" s="98"/>
      <c r="BB154" s="98"/>
      <c r="BC154" s="98"/>
      <c r="BD154" s="98"/>
      <c r="BE154" s="98"/>
      <c r="BF154" s="98"/>
      <c r="BG154" s="98"/>
      <c r="BH154" s="98"/>
      <c r="BI154" s="98"/>
      <c r="BJ154" s="98"/>
      <c r="BK154" s="98"/>
      <c r="BL154" s="98"/>
      <c r="BM154" s="98"/>
      <c r="BN154" s="98"/>
      <c r="BO154" s="98"/>
      <c r="BP154" s="98"/>
      <c r="BQ154" s="98"/>
      <c r="BR154" s="98"/>
      <c r="BS154" s="98"/>
      <c r="BT154" s="98"/>
      <c r="BU154" s="98"/>
      <c r="BV154" s="98"/>
      <c r="BW154" s="98"/>
      <c r="BX154" s="98"/>
      <c r="BY154" s="98"/>
      <c r="BZ154" s="98"/>
      <c r="CA154" s="98"/>
      <c r="CB154" s="98"/>
      <c r="CC154" s="98"/>
    </row>
    <row r="155" ht="15.75" customHeight="1">
      <c r="A155" s="98"/>
      <c r="B155" s="98"/>
      <c r="C155" s="98"/>
      <c r="D155" s="98"/>
      <c r="E155" s="98"/>
      <c r="F155" s="98"/>
      <c r="G155" s="98"/>
      <c r="H155" s="98"/>
      <c r="I155" s="99"/>
      <c r="J155" s="99"/>
      <c r="K155" s="99"/>
      <c r="L155" s="99"/>
      <c r="M155" s="99"/>
      <c r="N155" s="99"/>
      <c r="O155" s="99"/>
      <c r="P155" s="162"/>
      <c r="Q155" s="163"/>
      <c r="R155" s="163"/>
      <c r="S155" s="163"/>
      <c r="T155" s="164"/>
      <c r="U155" s="163"/>
      <c r="V155" s="163"/>
      <c r="W155" s="164"/>
      <c r="X155" s="98"/>
      <c r="Y155" s="98"/>
      <c r="Z155" s="98"/>
      <c r="AA155" s="98"/>
      <c r="AB155" s="98"/>
      <c r="AC155" s="98"/>
      <c r="AD155" s="98"/>
      <c r="AE155" s="98"/>
      <c r="AF155" s="98"/>
      <c r="AG155" s="98"/>
      <c r="AH155" s="98"/>
      <c r="AI155" s="98"/>
      <c r="AJ155" s="98"/>
      <c r="AK155" s="98"/>
      <c r="AL155" s="98"/>
      <c r="AM155" s="98"/>
      <c r="AN155" s="98"/>
      <c r="AO155" s="98"/>
      <c r="AP155" s="98"/>
      <c r="AQ155" s="98"/>
      <c r="AR155" s="98"/>
      <c r="AS155" s="98"/>
      <c r="AT155" s="98"/>
      <c r="AU155" s="98"/>
      <c r="AV155" s="98"/>
      <c r="AW155" s="98"/>
      <c r="AX155" s="98"/>
      <c r="AY155" s="98"/>
      <c r="AZ155" s="98"/>
      <c r="BA155" s="98"/>
      <c r="BB155" s="98"/>
      <c r="BC155" s="98"/>
      <c r="BD155" s="98"/>
      <c r="BE155" s="98"/>
      <c r="BF155" s="98"/>
      <c r="BG155" s="98"/>
      <c r="BH155" s="98"/>
      <c r="BI155" s="98"/>
      <c r="BJ155" s="98"/>
      <c r="BK155" s="98"/>
      <c r="BL155" s="98"/>
      <c r="BM155" s="98"/>
      <c r="BN155" s="98"/>
      <c r="BO155" s="98"/>
      <c r="BP155" s="98"/>
      <c r="BQ155" s="98"/>
      <c r="BR155" s="98"/>
      <c r="BS155" s="98"/>
      <c r="BT155" s="98"/>
      <c r="BU155" s="98"/>
      <c r="BV155" s="98"/>
      <c r="BW155" s="98"/>
      <c r="BX155" s="98"/>
      <c r="BY155" s="98"/>
      <c r="BZ155" s="98"/>
      <c r="CA155" s="98"/>
      <c r="CB155" s="98"/>
      <c r="CC155" s="98"/>
    </row>
    <row r="156" ht="15.75" customHeight="1">
      <c r="A156" s="98"/>
      <c r="B156" s="98"/>
      <c r="C156" s="98"/>
      <c r="D156" s="98"/>
      <c r="E156" s="98"/>
      <c r="F156" s="98"/>
      <c r="G156" s="98"/>
      <c r="H156" s="98"/>
      <c r="I156" s="99"/>
      <c r="J156" s="99"/>
      <c r="K156" s="99"/>
      <c r="L156" s="99"/>
      <c r="M156" s="99"/>
      <c r="N156" s="99"/>
      <c r="O156" s="99"/>
      <c r="P156" s="162"/>
      <c r="Q156" s="163"/>
      <c r="R156" s="163"/>
      <c r="S156" s="163"/>
      <c r="T156" s="164"/>
      <c r="U156" s="163"/>
      <c r="V156" s="163"/>
      <c r="W156" s="164"/>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c r="AT156" s="98"/>
      <c r="AU156" s="98"/>
      <c r="AV156" s="98"/>
      <c r="AW156" s="98"/>
      <c r="AX156" s="98"/>
      <c r="AY156" s="98"/>
      <c r="AZ156" s="98"/>
      <c r="BA156" s="98"/>
      <c r="BB156" s="98"/>
      <c r="BC156" s="98"/>
      <c r="BD156" s="98"/>
      <c r="BE156" s="98"/>
      <c r="BF156" s="98"/>
      <c r="BG156" s="98"/>
      <c r="BH156" s="98"/>
      <c r="BI156" s="98"/>
      <c r="BJ156" s="98"/>
      <c r="BK156" s="98"/>
      <c r="BL156" s="98"/>
      <c r="BM156" s="98"/>
      <c r="BN156" s="98"/>
      <c r="BO156" s="98"/>
      <c r="BP156" s="98"/>
      <c r="BQ156" s="98"/>
      <c r="BR156" s="98"/>
      <c r="BS156" s="98"/>
      <c r="BT156" s="98"/>
      <c r="BU156" s="98"/>
      <c r="BV156" s="98"/>
      <c r="BW156" s="98"/>
      <c r="BX156" s="98"/>
      <c r="BY156" s="98"/>
      <c r="BZ156" s="98"/>
      <c r="CA156" s="98"/>
      <c r="CB156" s="98"/>
      <c r="CC156" s="98"/>
    </row>
    <row r="157" ht="15.75" customHeight="1">
      <c r="A157" s="98"/>
      <c r="B157" s="98"/>
      <c r="C157" s="98"/>
      <c r="D157" s="98"/>
      <c r="E157" s="98"/>
      <c r="F157" s="98"/>
      <c r="G157" s="98"/>
      <c r="H157" s="98"/>
      <c r="I157" s="99"/>
      <c r="J157" s="99"/>
      <c r="K157" s="99"/>
      <c r="L157" s="99"/>
      <c r="M157" s="99"/>
      <c r="N157" s="99"/>
      <c r="O157" s="99"/>
      <c r="P157" s="162"/>
      <c r="Q157" s="163"/>
      <c r="R157" s="163"/>
      <c r="S157" s="163"/>
      <c r="T157" s="164"/>
      <c r="U157" s="163"/>
      <c r="V157" s="163"/>
      <c r="W157" s="164"/>
      <c r="X157" s="98"/>
      <c r="Y157" s="98"/>
      <c r="Z157" s="98"/>
      <c r="AA157" s="98"/>
      <c r="AB157" s="98"/>
      <c r="AC157" s="98"/>
      <c r="AD157" s="98"/>
      <c r="AE157" s="98"/>
      <c r="AF157" s="98"/>
      <c r="AG157" s="98"/>
      <c r="AH157" s="98"/>
      <c r="AI157" s="98"/>
      <c r="AJ157" s="98"/>
      <c r="AK157" s="98"/>
      <c r="AL157" s="98"/>
      <c r="AM157" s="98"/>
      <c r="AN157" s="98"/>
      <c r="AO157" s="98"/>
      <c r="AP157" s="98"/>
      <c r="AQ157" s="98"/>
      <c r="AR157" s="98"/>
      <c r="AS157" s="98"/>
      <c r="AT157" s="98"/>
      <c r="AU157" s="98"/>
      <c r="AV157" s="98"/>
      <c r="AW157" s="98"/>
      <c r="AX157" s="98"/>
      <c r="AY157" s="98"/>
      <c r="AZ157" s="98"/>
      <c r="BA157" s="98"/>
      <c r="BB157" s="98"/>
      <c r="BC157" s="98"/>
      <c r="BD157" s="98"/>
      <c r="BE157" s="98"/>
      <c r="BF157" s="98"/>
      <c r="BG157" s="98"/>
      <c r="BH157" s="98"/>
      <c r="BI157" s="98"/>
      <c r="BJ157" s="98"/>
      <c r="BK157" s="98"/>
      <c r="BL157" s="98"/>
      <c r="BM157" s="98"/>
      <c r="BN157" s="98"/>
      <c r="BO157" s="98"/>
      <c r="BP157" s="98"/>
      <c r="BQ157" s="98"/>
      <c r="BR157" s="98"/>
      <c r="BS157" s="98"/>
      <c r="BT157" s="98"/>
      <c r="BU157" s="98"/>
      <c r="BV157" s="98"/>
      <c r="BW157" s="98"/>
      <c r="BX157" s="98"/>
      <c r="BY157" s="98"/>
      <c r="BZ157" s="98"/>
      <c r="CA157" s="98"/>
      <c r="CB157" s="98"/>
      <c r="CC157" s="98"/>
    </row>
    <row r="158" ht="15.75" customHeight="1">
      <c r="A158" s="98"/>
      <c r="B158" s="98"/>
      <c r="C158" s="98"/>
      <c r="D158" s="98"/>
      <c r="E158" s="98"/>
      <c r="F158" s="98"/>
      <c r="G158" s="98"/>
      <c r="H158" s="98"/>
      <c r="I158" s="99"/>
      <c r="J158" s="99"/>
      <c r="K158" s="99"/>
      <c r="L158" s="99"/>
      <c r="M158" s="99"/>
      <c r="N158" s="99"/>
      <c r="O158" s="99"/>
      <c r="P158" s="162"/>
      <c r="Q158" s="163"/>
      <c r="R158" s="163"/>
      <c r="S158" s="163"/>
      <c r="T158" s="164"/>
      <c r="U158" s="163"/>
      <c r="V158" s="163"/>
      <c r="W158" s="164"/>
      <c r="X158" s="98"/>
      <c r="Y158" s="98"/>
      <c r="Z158" s="98"/>
      <c r="AA158" s="98"/>
      <c r="AB158" s="98"/>
      <c r="AC158" s="98"/>
      <c r="AD158" s="98"/>
      <c r="AE158" s="98"/>
      <c r="AF158" s="98"/>
      <c r="AG158" s="98"/>
      <c r="AH158" s="98"/>
      <c r="AI158" s="98"/>
      <c r="AJ158" s="98"/>
      <c r="AK158" s="98"/>
      <c r="AL158" s="98"/>
      <c r="AM158" s="98"/>
      <c r="AN158" s="98"/>
      <c r="AO158" s="98"/>
      <c r="AP158" s="98"/>
      <c r="AQ158" s="98"/>
      <c r="AR158" s="98"/>
      <c r="AS158" s="98"/>
      <c r="AT158" s="98"/>
      <c r="AU158" s="98"/>
      <c r="AV158" s="98"/>
      <c r="AW158" s="98"/>
      <c r="AX158" s="98"/>
      <c r="AY158" s="98"/>
      <c r="AZ158" s="98"/>
      <c r="BA158" s="98"/>
      <c r="BB158" s="98"/>
      <c r="BC158" s="98"/>
      <c r="BD158" s="98"/>
      <c r="BE158" s="98"/>
      <c r="BF158" s="98"/>
      <c r="BG158" s="98"/>
      <c r="BH158" s="98"/>
      <c r="BI158" s="98"/>
      <c r="BJ158" s="98"/>
      <c r="BK158" s="98"/>
      <c r="BL158" s="98"/>
      <c r="BM158" s="98"/>
      <c r="BN158" s="98"/>
      <c r="BO158" s="98"/>
      <c r="BP158" s="98"/>
      <c r="BQ158" s="98"/>
      <c r="BR158" s="98"/>
      <c r="BS158" s="98"/>
      <c r="BT158" s="98"/>
      <c r="BU158" s="98"/>
      <c r="BV158" s="98"/>
      <c r="BW158" s="98"/>
      <c r="BX158" s="98"/>
      <c r="BY158" s="98"/>
      <c r="BZ158" s="98"/>
      <c r="CA158" s="98"/>
      <c r="CB158" s="98"/>
      <c r="CC158" s="98"/>
    </row>
    <row r="159" ht="15.75" customHeight="1">
      <c r="A159" s="98"/>
      <c r="B159" s="98"/>
      <c r="C159" s="98"/>
      <c r="D159" s="98"/>
      <c r="E159" s="98"/>
      <c r="F159" s="98"/>
      <c r="G159" s="98"/>
      <c r="H159" s="98"/>
      <c r="I159" s="99"/>
      <c r="J159" s="99"/>
      <c r="K159" s="99"/>
      <c r="L159" s="99"/>
      <c r="M159" s="99"/>
      <c r="N159" s="99"/>
      <c r="O159" s="99"/>
      <c r="P159" s="162"/>
      <c r="Q159" s="163"/>
      <c r="R159" s="163"/>
      <c r="S159" s="163"/>
      <c r="T159" s="164"/>
      <c r="U159" s="163"/>
      <c r="V159" s="163"/>
      <c r="W159" s="164"/>
      <c r="X159" s="98"/>
      <c r="Y159" s="98"/>
      <c r="Z159" s="98"/>
      <c r="AA159" s="98"/>
      <c r="AB159" s="98"/>
      <c r="AC159" s="98"/>
      <c r="AD159" s="98"/>
      <c r="AE159" s="98"/>
      <c r="AF159" s="98"/>
      <c r="AG159" s="98"/>
      <c r="AH159" s="98"/>
      <c r="AI159" s="98"/>
      <c r="AJ159" s="98"/>
      <c r="AK159" s="98"/>
      <c r="AL159" s="98"/>
      <c r="AM159" s="98"/>
      <c r="AN159" s="98"/>
      <c r="AO159" s="98"/>
      <c r="AP159" s="98"/>
      <c r="AQ159" s="98"/>
      <c r="AR159" s="98"/>
      <c r="AS159" s="98"/>
      <c r="AT159" s="98"/>
      <c r="AU159" s="98"/>
      <c r="AV159" s="98"/>
      <c r="AW159" s="98"/>
      <c r="AX159" s="98"/>
      <c r="AY159" s="98"/>
      <c r="AZ159" s="98"/>
      <c r="BA159" s="98"/>
      <c r="BB159" s="98"/>
      <c r="BC159" s="98"/>
      <c r="BD159" s="98"/>
      <c r="BE159" s="98"/>
      <c r="BF159" s="98"/>
      <c r="BG159" s="98"/>
      <c r="BH159" s="98"/>
      <c r="BI159" s="98"/>
      <c r="BJ159" s="98"/>
      <c r="BK159" s="98"/>
      <c r="BL159" s="98"/>
      <c r="BM159" s="98"/>
      <c r="BN159" s="98"/>
      <c r="BO159" s="98"/>
      <c r="BP159" s="98"/>
      <c r="BQ159" s="98"/>
      <c r="BR159" s="98"/>
      <c r="BS159" s="98"/>
      <c r="BT159" s="98"/>
      <c r="BU159" s="98"/>
      <c r="BV159" s="98"/>
      <c r="BW159" s="98"/>
      <c r="BX159" s="98"/>
      <c r="BY159" s="98"/>
      <c r="BZ159" s="98"/>
      <c r="CA159" s="98"/>
      <c r="CB159" s="98"/>
      <c r="CC159" s="98"/>
    </row>
    <row r="160" ht="15.75" customHeight="1">
      <c r="A160" s="98"/>
      <c r="B160" s="98"/>
      <c r="C160" s="98"/>
      <c r="D160" s="98"/>
      <c r="E160" s="98"/>
      <c r="F160" s="98"/>
      <c r="G160" s="98"/>
      <c r="H160" s="98"/>
      <c r="I160" s="99"/>
      <c r="J160" s="99"/>
      <c r="K160" s="99"/>
      <c r="L160" s="99"/>
      <c r="M160" s="99"/>
      <c r="N160" s="99"/>
      <c r="O160" s="99"/>
      <c r="P160" s="162"/>
      <c r="Q160" s="163"/>
      <c r="R160" s="163"/>
      <c r="S160" s="163"/>
      <c r="T160" s="164"/>
      <c r="U160" s="163"/>
      <c r="V160" s="163"/>
      <c r="W160" s="164"/>
      <c r="X160" s="98"/>
      <c r="Y160" s="98"/>
      <c r="Z160" s="98"/>
      <c r="AA160" s="98"/>
      <c r="AB160" s="98"/>
      <c r="AC160" s="98"/>
      <c r="AD160" s="98"/>
      <c r="AE160" s="98"/>
      <c r="AF160" s="98"/>
      <c r="AG160" s="98"/>
      <c r="AH160" s="98"/>
      <c r="AI160" s="98"/>
      <c r="AJ160" s="98"/>
      <c r="AK160" s="98"/>
      <c r="AL160" s="98"/>
      <c r="AM160" s="98"/>
      <c r="AN160" s="98"/>
      <c r="AO160" s="98"/>
      <c r="AP160" s="98"/>
      <c r="AQ160" s="98"/>
      <c r="AR160" s="98"/>
      <c r="AS160" s="98"/>
      <c r="AT160" s="98"/>
      <c r="AU160" s="98"/>
      <c r="AV160" s="98"/>
      <c r="AW160" s="98"/>
      <c r="AX160" s="98"/>
      <c r="AY160" s="98"/>
      <c r="AZ160" s="98"/>
      <c r="BA160" s="98"/>
      <c r="BB160" s="98"/>
      <c r="BC160" s="98"/>
      <c r="BD160" s="98"/>
      <c r="BE160" s="98"/>
      <c r="BF160" s="98"/>
      <c r="BG160" s="98"/>
      <c r="BH160" s="98"/>
      <c r="BI160" s="98"/>
      <c r="BJ160" s="98"/>
      <c r="BK160" s="98"/>
      <c r="BL160" s="98"/>
      <c r="BM160" s="98"/>
      <c r="BN160" s="98"/>
      <c r="BO160" s="98"/>
      <c r="BP160" s="98"/>
      <c r="BQ160" s="98"/>
      <c r="BR160" s="98"/>
      <c r="BS160" s="98"/>
      <c r="BT160" s="98"/>
      <c r="BU160" s="98"/>
      <c r="BV160" s="98"/>
      <c r="BW160" s="98"/>
      <c r="BX160" s="98"/>
      <c r="BY160" s="98"/>
      <c r="BZ160" s="98"/>
      <c r="CA160" s="98"/>
      <c r="CB160" s="98"/>
      <c r="CC160" s="98"/>
    </row>
    <row r="161" ht="15.75" customHeight="1">
      <c r="A161" s="98"/>
      <c r="B161" s="98"/>
      <c r="C161" s="98"/>
      <c r="D161" s="98"/>
      <c r="E161" s="98"/>
      <c r="F161" s="98"/>
      <c r="G161" s="98"/>
      <c r="H161" s="98"/>
      <c r="I161" s="99"/>
      <c r="J161" s="99"/>
      <c r="K161" s="99"/>
      <c r="L161" s="99"/>
      <c r="M161" s="99"/>
      <c r="N161" s="99"/>
      <c r="O161" s="99"/>
      <c r="P161" s="162"/>
      <c r="Q161" s="163"/>
      <c r="R161" s="163"/>
      <c r="S161" s="163"/>
      <c r="T161" s="164"/>
      <c r="U161" s="163"/>
      <c r="V161" s="163"/>
      <c r="W161" s="164"/>
      <c r="X161" s="98"/>
      <c r="Y161" s="98"/>
      <c r="Z161" s="98"/>
      <c r="AA161" s="98"/>
      <c r="AB161" s="98"/>
      <c r="AC161" s="98"/>
      <c r="AD161" s="98"/>
      <c r="AE161" s="98"/>
      <c r="AF161" s="98"/>
      <c r="AG161" s="98"/>
      <c r="AH161" s="98"/>
      <c r="AI161" s="98"/>
      <c r="AJ161" s="98"/>
      <c r="AK161" s="98"/>
      <c r="AL161" s="98"/>
      <c r="AM161" s="98"/>
      <c r="AN161" s="98"/>
      <c r="AO161" s="98"/>
      <c r="AP161" s="98"/>
      <c r="AQ161" s="98"/>
      <c r="AR161" s="98"/>
      <c r="AS161" s="98"/>
      <c r="AT161" s="98"/>
      <c r="AU161" s="98"/>
      <c r="AV161" s="98"/>
      <c r="AW161" s="98"/>
      <c r="AX161" s="98"/>
      <c r="AY161" s="98"/>
      <c r="AZ161" s="98"/>
      <c r="BA161" s="98"/>
      <c r="BB161" s="98"/>
      <c r="BC161" s="98"/>
      <c r="BD161" s="98"/>
      <c r="BE161" s="98"/>
      <c r="BF161" s="98"/>
      <c r="BG161" s="98"/>
      <c r="BH161" s="98"/>
      <c r="BI161" s="98"/>
      <c r="BJ161" s="98"/>
      <c r="BK161" s="98"/>
      <c r="BL161" s="98"/>
      <c r="BM161" s="98"/>
      <c r="BN161" s="98"/>
      <c r="BO161" s="98"/>
      <c r="BP161" s="98"/>
      <c r="BQ161" s="98"/>
      <c r="BR161" s="98"/>
      <c r="BS161" s="98"/>
      <c r="BT161" s="98"/>
      <c r="BU161" s="98"/>
      <c r="BV161" s="98"/>
      <c r="BW161" s="98"/>
      <c r="BX161" s="98"/>
      <c r="BY161" s="98"/>
      <c r="BZ161" s="98"/>
      <c r="CA161" s="98"/>
      <c r="CB161" s="98"/>
      <c r="CC161" s="98"/>
    </row>
    <row r="162" ht="15.75" customHeight="1">
      <c r="A162" s="98"/>
      <c r="B162" s="98"/>
      <c r="C162" s="98"/>
      <c r="D162" s="98"/>
      <c r="E162" s="98"/>
      <c r="F162" s="98"/>
      <c r="G162" s="98"/>
      <c r="H162" s="98"/>
      <c r="I162" s="99"/>
      <c r="J162" s="99"/>
      <c r="K162" s="99"/>
      <c r="L162" s="99"/>
      <c r="M162" s="99"/>
      <c r="N162" s="99"/>
      <c r="O162" s="99"/>
      <c r="P162" s="162"/>
      <c r="Q162" s="163"/>
      <c r="R162" s="163"/>
      <c r="S162" s="163"/>
      <c r="T162" s="164"/>
      <c r="U162" s="163"/>
      <c r="V162" s="163"/>
      <c r="W162" s="164"/>
      <c r="X162" s="98"/>
      <c r="Y162" s="98"/>
      <c r="Z162" s="98"/>
      <c r="AA162" s="98"/>
      <c r="AB162" s="98"/>
      <c r="AC162" s="98"/>
      <c r="AD162" s="98"/>
      <c r="AE162" s="98"/>
      <c r="AF162" s="98"/>
      <c r="AG162" s="98"/>
      <c r="AH162" s="98"/>
      <c r="AI162" s="98"/>
      <c r="AJ162" s="98"/>
      <c r="AK162" s="98"/>
      <c r="AL162" s="98"/>
      <c r="AM162" s="98"/>
      <c r="AN162" s="98"/>
      <c r="AO162" s="98"/>
      <c r="AP162" s="98"/>
      <c r="AQ162" s="98"/>
      <c r="AR162" s="98"/>
      <c r="AS162" s="98"/>
      <c r="AT162" s="98"/>
      <c r="AU162" s="98"/>
      <c r="AV162" s="98"/>
      <c r="AW162" s="98"/>
      <c r="AX162" s="98"/>
      <c r="AY162" s="98"/>
      <c r="AZ162" s="98"/>
      <c r="BA162" s="98"/>
      <c r="BB162" s="98"/>
      <c r="BC162" s="98"/>
      <c r="BD162" s="98"/>
      <c r="BE162" s="98"/>
      <c r="BF162" s="98"/>
      <c r="BG162" s="98"/>
      <c r="BH162" s="98"/>
      <c r="BI162" s="98"/>
      <c r="BJ162" s="98"/>
      <c r="BK162" s="98"/>
      <c r="BL162" s="98"/>
      <c r="BM162" s="98"/>
      <c r="BN162" s="98"/>
      <c r="BO162" s="98"/>
      <c r="BP162" s="98"/>
      <c r="BQ162" s="98"/>
      <c r="BR162" s="98"/>
      <c r="BS162" s="98"/>
      <c r="BT162" s="98"/>
      <c r="BU162" s="98"/>
      <c r="BV162" s="98"/>
      <c r="BW162" s="98"/>
      <c r="BX162" s="98"/>
      <c r="BY162" s="98"/>
      <c r="BZ162" s="98"/>
      <c r="CA162" s="98"/>
      <c r="CB162" s="98"/>
      <c r="CC162" s="98"/>
    </row>
    <row r="163" ht="15.75" customHeight="1">
      <c r="A163" s="98"/>
      <c r="B163" s="98"/>
      <c r="C163" s="98"/>
      <c r="D163" s="98"/>
      <c r="E163" s="98"/>
      <c r="F163" s="98"/>
      <c r="G163" s="98"/>
      <c r="H163" s="98"/>
      <c r="I163" s="99"/>
      <c r="J163" s="99"/>
      <c r="K163" s="99"/>
      <c r="L163" s="99"/>
      <c r="M163" s="99"/>
      <c r="N163" s="99"/>
      <c r="O163" s="99"/>
      <c r="P163" s="162"/>
      <c r="Q163" s="163"/>
      <c r="R163" s="163"/>
      <c r="S163" s="163"/>
      <c r="T163" s="164"/>
      <c r="U163" s="163"/>
      <c r="V163" s="163"/>
      <c r="W163" s="164"/>
      <c r="X163" s="98"/>
      <c r="Y163" s="98"/>
      <c r="Z163" s="98"/>
      <c r="AA163" s="98"/>
      <c r="AB163" s="98"/>
      <c r="AC163" s="98"/>
      <c r="AD163" s="98"/>
      <c r="AE163" s="98"/>
      <c r="AF163" s="98"/>
      <c r="AG163" s="98"/>
      <c r="AH163" s="98"/>
      <c r="AI163" s="98"/>
      <c r="AJ163" s="98"/>
      <c r="AK163" s="98"/>
      <c r="AL163" s="98"/>
      <c r="AM163" s="98"/>
      <c r="AN163" s="98"/>
      <c r="AO163" s="98"/>
      <c r="AP163" s="98"/>
      <c r="AQ163" s="98"/>
      <c r="AR163" s="98"/>
      <c r="AS163" s="98"/>
      <c r="AT163" s="98"/>
      <c r="AU163" s="98"/>
      <c r="AV163" s="98"/>
      <c r="AW163" s="98"/>
      <c r="AX163" s="98"/>
      <c r="AY163" s="98"/>
      <c r="AZ163" s="98"/>
      <c r="BA163" s="98"/>
      <c r="BB163" s="98"/>
      <c r="BC163" s="98"/>
      <c r="BD163" s="98"/>
      <c r="BE163" s="98"/>
      <c r="BF163" s="98"/>
      <c r="BG163" s="98"/>
      <c r="BH163" s="98"/>
      <c r="BI163" s="98"/>
      <c r="BJ163" s="98"/>
      <c r="BK163" s="98"/>
      <c r="BL163" s="98"/>
      <c r="BM163" s="98"/>
      <c r="BN163" s="98"/>
      <c r="BO163" s="98"/>
      <c r="BP163" s="98"/>
      <c r="BQ163" s="98"/>
      <c r="BR163" s="98"/>
      <c r="BS163" s="98"/>
      <c r="BT163" s="98"/>
      <c r="BU163" s="98"/>
      <c r="BV163" s="98"/>
      <c r="BW163" s="98"/>
      <c r="BX163" s="98"/>
      <c r="BY163" s="98"/>
      <c r="BZ163" s="98"/>
      <c r="CA163" s="98"/>
      <c r="CB163" s="98"/>
      <c r="CC163" s="98"/>
    </row>
    <row r="164" ht="15.75" customHeight="1">
      <c r="A164" s="98"/>
      <c r="B164" s="98"/>
      <c r="C164" s="98"/>
      <c r="D164" s="98"/>
      <c r="E164" s="98"/>
      <c r="F164" s="98"/>
      <c r="G164" s="98"/>
      <c r="H164" s="98"/>
      <c r="I164" s="99"/>
      <c r="J164" s="99"/>
      <c r="K164" s="99"/>
      <c r="L164" s="99"/>
      <c r="M164" s="99"/>
      <c r="N164" s="99"/>
      <c r="O164" s="99"/>
      <c r="P164" s="162"/>
      <c r="Q164" s="163"/>
      <c r="R164" s="163"/>
      <c r="S164" s="163"/>
      <c r="T164" s="164"/>
      <c r="U164" s="163"/>
      <c r="V164" s="163"/>
      <c r="W164" s="164"/>
      <c r="X164" s="98"/>
      <c r="Y164" s="98"/>
      <c r="Z164" s="98"/>
      <c r="AA164" s="98"/>
      <c r="AB164" s="98"/>
      <c r="AC164" s="98"/>
      <c r="AD164" s="98"/>
      <c r="AE164" s="98"/>
      <c r="AF164" s="98"/>
      <c r="AG164" s="98"/>
      <c r="AH164" s="98"/>
      <c r="AI164" s="98"/>
      <c r="AJ164" s="98"/>
      <c r="AK164" s="98"/>
      <c r="AL164" s="98"/>
      <c r="AM164" s="98"/>
      <c r="AN164" s="98"/>
      <c r="AO164" s="98"/>
      <c r="AP164" s="98"/>
      <c r="AQ164" s="98"/>
      <c r="AR164" s="98"/>
      <c r="AS164" s="98"/>
      <c r="AT164" s="98"/>
      <c r="AU164" s="98"/>
      <c r="AV164" s="98"/>
      <c r="AW164" s="98"/>
      <c r="AX164" s="98"/>
      <c r="AY164" s="98"/>
      <c r="AZ164" s="98"/>
      <c r="BA164" s="98"/>
      <c r="BB164" s="98"/>
      <c r="BC164" s="98"/>
      <c r="BD164" s="98"/>
      <c r="BE164" s="98"/>
      <c r="BF164" s="98"/>
      <c r="BG164" s="98"/>
      <c r="BH164" s="98"/>
      <c r="BI164" s="98"/>
      <c r="BJ164" s="98"/>
      <c r="BK164" s="98"/>
      <c r="BL164" s="98"/>
      <c r="BM164" s="98"/>
      <c r="BN164" s="98"/>
      <c r="BO164" s="98"/>
      <c r="BP164" s="98"/>
      <c r="BQ164" s="98"/>
      <c r="BR164" s="98"/>
      <c r="BS164" s="98"/>
      <c r="BT164" s="98"/>
      <c r="BU164" s="98"/>
      <c r="BV164" s="98"/>
      <c r="BW164" s="98"/>
      <c r="BX164" s="98"/>
      <c r="BY164" s="98"/>
      <c r="BZ164" s="98"/>
      <c r="CA164" s="98"/>
      <c r="CB164" s="98"/>
      <c r="CC164" s="98"/>
    </row>
    <row r="165" ht="15.75" customHeight="1">
      <c r="A165" s="98"/>
      <c r="B165" s="98"/>
      <c r="C165" s="98"/>
      <c r="D165" s="98"/>
      <c r="E165" s="98"/>
      <c r="F165" s="98"/>
      <c r="G165" s="98"/>
      <c r="H165" s="98"/>
      <c r="I165" s="99"/>
      <c r="J165" s="99"/>
      <c r="K165" s="99"/>
      <c r="L165" s="99"/>
      <c r="M165" s="99"/>
      <c r="N165" s="99"/>
      <c r="O165" s="99"/>
      <c r="P165" s="162"/>
      <c r="Q165" s="163"/>
      <c r="R165" s="163"/>
      <c r="S165" s="163"/>
      <c r="T165" s="164"/>
      <c r="U165" s="163"/>
      <c r="V165" s="163"/>
      <c r="W165" s="164"/>
      <c r="X165" s="98"/>
      <c r="Y165" s="98"/>
      <c r="Z165" s="98"/>
      <c r="AA165" s="98"/>
      <c r="AB165" s="98"/>
      <c r="AC165" s="98"/>
      <c r="AD165" s="98"/>
      <c r="AE165" s="98"/>
      <c r="AF165" s="98"/>
      <c r="AG165" s="98"/>
      <c r="AH165" s="98"/>
      <c r="AI165" s="98"/>
      <c r="AJ165" s="98"/>
      <c r="AK165" s="98"/>
      <c r="AL165" s="98"/>
      <c r="AM165" s="98"/>
      <c r="AN165" s="98"/>
      <c r="AO165" s="98"/>
      <c r="AP165" s="98"/>
      <c r="AQ165" s="98"/>
      <c r="AR165" s="98"/>
      <c r="AS165" s="98"/>
      <c r="AT165" s="98"/>
      <c r="AU165" s="98"/>
      <c r="AV165" s="98"/>
      <c r="AW165" s="98"/>
      <c r="AX165" s="98"/>
      <c r="AY165" s="98"/>
      <c r="AZ165" s="98"/>
      <c r="BA165" s="98"/>
      <c r="BB165" s="98"/>
      <c r="BC165" s="98"/>
      <c r="BD165" s="98"/>
      <c r="BE165" s="98"/>
      <c r="BF165" s="98"/>
      <c r="BG165" s="98"/>
      <c r="BH165" s="98"/>
      <c r="BI165" s="98"/>
      <c r="BJ165" s="98"/>
      <c r="BK165" s="98"/>
      <c r="BL165" s="98"/>
      <c r="BM165" s="98"/>
      <c r="BN165" s="98"/>
      <c r="BO165" s="98"/>
      <c r="BP165" s="98"/>
      <c r="BQ165" s="98"/>
      <c r="BR165" s="98"/>
      <c r="BS165" s="98"/>
      <c r="BT165" s="98"/>
      <c r="BU165" s="98"/>
      <c r="BV165" s="98"/>
      <c r="BW165" s="98"/>
      <c r="BX165" s="98"/>
      <c r="BY165" s="98"/>
      <c r="BZ165" s="98"/>
      <c r="CA165" s="98"/>
      <c r="CB165" s="98"/>
      <c r="CC165" s="98"/>
    </row>
    <row r="166" ht="15.75" customHeight="1">
      <c r="A166" s="98"/>
      <c r="B166" s="98"/>
      <c r="C166" s="98"/>
      <c r="D166" s="98"/>
      <c r="E166" s="98"/>
      <c r="F166" s="98"/>
      <c r="G166" s="98"/>
      <c r="H166" s="98"/>
      <c r="I166" s="99"/>
      <c r="J166" s="99"/>
      <c r="K166" s="99"/>
      <c r="L166" s="99"/>
      <c r="M166" s="99"/>
      <c r="N166" s="99"/>
      <c r="O166" s="99"/>
      <c r="P166" s="162"/>
      <c r="Q166" s="163"/>
      <c r="R166" s="163"/>
      <c r="S166" s="163"/>
      <c r="T166" s="164"/>
      <c r="U166" s="163"/>
      <c r="V166" s="163"/>
      <c r="W166" s="164"/>
      <c r="X166" s="98"/>
      <c r="Y166" s="98"/>
      <c r="Z166" s="98"/>
      <c r="AA166" s="98"/>
      <c r="AB166" s="98"/>
      <c r="AC166" s="98"/>
      <c r="AD166" s="98"/>
      <c r="AE166" s="98"/>
      <c r="AF166" s="98"/>
      <c r="AG166" s="98"/>
      <c r="AH166" s="98"/>
      <c r="AI166" s="98"/>
      <c r="AJ166" s="98"/>
      <c r="AK166" s="98"/>
      <c r="AL166" s="98"/>
      <c r="AM166" s="98"/>
      <c r="AN166" s="98"/>
      <c r="AO166" s="98"/>
      <c r="AP166" s="98"/>
      <c r="AQ166" s="98"/>
      <c r="AR166" s="98"/>
      <c r="AS166" s="98"/>
      <c r="AT166" s="98"/>
      <c r="AU166" s="98"/>
      <c r="AV166" s="98"/>
      <c r="AW166" s="98"/>
      <c r="AX166" s="98"/>
      <c r="AY166" s="98"/>
      <c r="AZ166" s="98"/>
      <c r="BA166" s="98"/>
      <c r="BB166" s="98"/>
      <c r="BC166" s="98"/>
      <c r="BD166" s="98"/>
      <c r="BE166" s="98"/>
      <c r="BF166" s="98"/>
      <c r="BG166" s="98"/>
      <c r="BH166" s="98"/>
      <c r="BI166" s="98"/>
      <c r="BJ166" s="98"/>
      <c r="BK166" s="98"/>
      <c r="BL166" s="98"/>
      <c r="BM166" s="98"/>
      <c r="BN166" s="98"/>
      <c r="BO166" s="98"/>
      <c r="BP166" s="98"/>
      <c r="BQ166" s="98"/>
      <c r="BR166" s="98"/>
      <c r="BS166" s="98"/>
      <c r="BT166" s="98"/>
      <c r="BU166" s="98"/>
      <c r="BV166" s="98"/>
      <c r="BW166" s="98"/>
      <c r="BX166" s="98"/>
      <c r="BY166" s="98"/>
      <c r="BZ166" s="98"/>
      <c r="CA166" s="98"/>
      <c r="CB166" s="98"/>
      <c r="CC166" s="98"/>
    </row>
    <row r="167" ht="15.75" customHeight="1">
      <c r="A167" s="98"/>
      <c r="B167" s="98"/>
      <c r="C167" s="98"/>
      <c r="D167" s="98"/>
      <c r="E167" s="98"/>
      <c r="F167" s="98"/>
      <c r="G167" s="98"/>
      <c r="H167" s="98"/>
      <c r="I167" s="99"/>
      <c r="J167" s="99"/>
      <c r="K167" s="99"/>
      <c r="L167" s="99"/>
      <c r="M167" s="99"/>
      <c r="N167" s="99"/>
      <c r="O167" s="99"/>
      <c r="P167" s="162"/>
      <c r="Q167" s="163"/>
      <c r="R167" s="163"/>
      <c r="S167" s="163"/>
      <c r="T167" s="164"/>
      <c r="U167" s="163"/>
      <c r="V167" s="163"/>
      <c r="W167" s="164"/>
      <c r="X167" s="98"/>
      <c r="Y167" s="98"/>
      <c r="Z167" s="98"/>
      <c r="AA167" s="98"/>
      <c r="AB167" s="98"/>
      <c r="AC167" s="98"/>
      <c r="AD167" s="98"/>
      <c r="AE167" s="98"/>
      <c r="AF167" s="98"/>
      <c r="AG167" s="98"/>
      <c r="AH167" s="98"/>
      <c r="AI167" s="98"/>
      <c r="AJ167" s="98"/>
      <c r="AK167" s="98"/>
      <c r="AL167" s="98"/>
      <c r="AM167" s="98"/>
      <c r="AN167" s="98"/>
      <c r="AO167" s="98"/>
      <c r="AP167" s="98"/>
      <c r="AQ167" s="98"/>
      <c r="AR167" s="98"/>
      <c r="AS167" s="98"/>
      <c r="AT167" s="98"/>
      <c r="AU167" s="98"/>
      <c r="AV167" s="98"/>
      <c r="AW167" s="98"/>
      <c r="AX167" s="98"/>
      <c r="AY167" s="98"/>
      <c r="AZ167" s="98"/>
      <c r="BA167" s="98"/>
      <c r="BB167" s="98"/>
      <c r="BC167" s="98"/>
      <c r="BD167" s="98"/>
      <c r="BE167" s="98"/>
      <c r="BF167" s="98"/>
      <c r="BG167" s="98"/>
      <c r="BH167" s="98"/>
      <c r="BI167" s="98"/>
      <c r="BJ167" s="98"/>
      <c r="BK167" s="98"/>
      <c r="BL167" s="98"/>
      <c r="BM167" s="98"/>
      <c r="BN167" s="98"/>
      <c r="BO167" s="98"/>
      <c r="BP167" s="98"/>
      <c r="BQ167" s="98"/>
      <c r="BR167" s="98"/>
      <c r="BS167" s="98"/>
      <c r="BT167" s="98"/>
      <c r="BU167" s="98"/>
      <c r="BV167" s="98"/>
      <c r="BW167" s="98"/>
      <c r="BX167" s="98"/>
      <c r="BY167" s="98"/>
      <c r="BZ167" s="98"/>
      <c r="CA167" s="98"/>
      <c r="CB167" s="98"/>
      <c r="CC167" s="98"/>
    </row>
    <row r="168" ht="15.75" customHeight="1">
      <c r="A168" s="98"/>
      <c r="B168" s="98"/>
      <c r="C168" s="98"/>
      <c r="D168" s="98"/>
      <c r="E168" s="98"/>
      <c r="F168" s="98"/>
      <c r="G168" s="98"/>
      <c r="H168" s="98"/>
      <c r="I168" s="99"/>
      <c r="J168" s="99"/>
      <c r="K168" s="99"/>
      <c r="L168" s="99"/>
      <c r="M168" s="99"/>
      <c r="N168" s="99"/>
      <c r="O168" s="99"/>
      <c r="P168" s="162"/>
      <c r="Q168" s="163"/>
      <c r="R168" s="163"/>
      <c r="S168" s="163"/>
      <c r="T168" s="164"/>
      <c r="U168" s="163"/>
      <c r="V168" s="163"/>
      <c r="W168" s="164"/>
      <c r="X168" s="98"/>
      <c r="Y168" s="98"/>
      <c r="Z168" s="98"/>
      <c r="AA168" s="98"/>
      <c r="AB168" s="98"/>
      <c r="AC168" s="98"/>
      <c r="AD168" s="98"/>
      <c r="AE168" s="98"/>
      <c r="AF168" s="98"/>
      <c r="AG168" s="98"/>
      <c r="AH168" s="98"/>
      <c r="AI168" s="98"/>
      <c r="AJ168" s="98"/>
      <c r="AK168" s="98"/>
      <c r="AL168" s="98"/>
      <c r="AM168" s="98"/>
      <c r="AN168" s="98"/>
      <c r="AO168" s="98"/>
      <c r="AP168" s="98"/>
      <c r="AQ168" s="98"/>
      <c r="AR168" s="98"/>
      <c r="AS168" s="98"/>
      <c r="AT168" s="98"/>
      <c r="AU168" s="98"/>
      <c r="AV168" s="98"/>
      <c r="AW168" s="98"/>
      <c r="AX168" s="98"/>
      <c r="AY168" s="98"/>
      <c r="AZ168" s="98"/>
      <c r="BA168" s="98"/>
      <c r="BB168" s="98"/>
      <c r="BC168" s="98"/>
      <c r="BD168" s="98"/>
      <c r="BE168" s="98"/>
      <c r="BF168" s="98"/>
      <c r="BG168" s="98"/>
      <c r="BH168" s="98"/>
      <c r="BI168" s="98"/>
      <c r="BJ168" s="98"/>
      <c r="BK168" s="98"/>
      <c r="BL168" s="98"/>
      <c r="BM168" s="98"/>
      <c r="BN168" s="98"/>
      <c r="BO168" s="98"/>
      <c r="BP168" s="98"/>
      <c r="BQ168" s="98"/>
      <c r="BR168" s="98"/>
      <c r="BS168" s="98"/>
      <c r="BT168" s="98"/>
      <c r="BU168" s="98"/>
      <c r="BV168" s="98"/>
      <c r="BW168" s="98"/>
      <c r="BX168" s="98"/>
      <c r="BY168" s="98"/>
      <c r="BZ168" s="98"/>
      <c r="CA168" s="98"/>
      <c r="CB168" s="98"/>
      <c r="CC168" s="98"/>
    </row>
    <row r="169" ht="15.75" customHeight="1">
      <c r="A169" s="98"/>
      <c r="B169" s="98"/>
      <c r="C169" s="98"/>
      <c r="D169" s="98"/>
      <c r="E169" s="98"/>
      <c r="F169" s="98"/>
      <c r="G169" s="98"/>
      <c r="H169" s="98"/>
      <c r="I169" s="99"/>
      <c r="J169" s="99"/>
      <c r="K169" s="99"/>
      <c r="L169" s="99"/>
      <c r="M169" s="99"/>
      <c r="N169" s="99"/>
      <c r="O169" s="99"/>
      <c r="P169" s="162"/>
      <c r="Q169" s="163"/>
      <c r="R169" s="163"/>
      <c r="S169" s="163"/>
      <c r="T169" s="164"/>
      <c r="U169" s="163"/>
      <c r="V169" s="163"/>
      <c r="W169" s="164"/>
      <c r="X169" s="98"/>
      <c r="Y169" s="98"/>
      <c r="Z169" s="98"/>
      <c r="AA169" s="98"/>
      <c r="AB169" s="98"/>
      <c r="AC169" s="98"/>
      <c r="AD169" s="98"/>
      <c r="AE169" s="98"/>
      <c r="AF169" s="98"/>
      <c r="AG169" s="98"/>
      <c r="AH169" s="98"/>
      <c r="AI169" s="98"/>
      <c r="AJ169" s="98"/>
      <c r="AK169" s="98"/>
      <c r="AL169" s="98"/>
      <c r="AM169" s="98"/>
      <c r="AN169" s="98"/>
      <c r="AO169" s="98"/>
      <c r="AP169" s="98"/>
      <c r="AQ169" s="98"/>
      <c r="AR169" s="98"/>
      <c r="AS169" s="98"/>
      <c r="AT169" s="98"/>
      <c r="AU169" s="98"/>
      <c r="AV169" s="98"/>
      <c r="AW169" s="98"/>
      <c r="AX169" s="98"/>
      <c r="AY169" s="98"/>
      <c r="AZ169" s="98"/>
      <c r="BA169" s="98"/>
      <c r="BB169" s="98"/>
      <c r="BC169" s="98"/>
      <c r="BD169" s="98"/>
      <c r="BE169" s="98"/>
      <c r="BF169" s="98"/>
      <c r="BG169" s="98"/>
      <c r="BH169" s="98"/>
      <c r="BI169" s="98"/>
      <c r="BJ169" s="98"/>
      <c r="BK169" s="98"/>
      <c r="BL169" s="98"/>
      <c r="BM169" s="98"/>
      <c r="BN169" s="98"/>
      <c r="BO169" s="98"/>
      <c r="BP169" s="98"/>
      <c r="BQ169" s="98"/>
      <c r="BR169" s="98"/>
      <c r="BS169" s="98"/>
      <c r="BT169" s="98"/>
      <c r="BU169" s="98"/>
      <c r="BV169" s="98"/>
      <c r="BW169" s="98"/>
      <c r="BX169" s="98"/>
      <c r="BY169" s="98"/>
      <c r="BZ169" s="98"/>
      <c r="CA169" s="98"/>
      <c r="CB169" s="98"/>
      <c r="CC169" s="98"/>
    </row>
    <row r="170" ht="15.75" customHeight="1">
      <c r="A170" s="98"/>
      <c r="B170" s="98"/>
      <c r="C170" s="98"/>
      <c r="D170" s="98"/>
      <c r="E170" s="98"/>
      <c r="F170" s="98"/>
      <c r="G170" s="98"/>
      <c r="H170" s="98"/>
      <c r="I170" s="99"/>
      <c r="J170" s="99"/>
      <c r="K170" s="99"/>
      <c r="L170" s="99"/>
      <c r="M170" s="99"/>
      <c r="N170" s="99"/>
      <c r="O170" s="99"/>
      <c r="P170" s="162"/>
      <c r="Q170" s="163"/>
      <c r="R170" s="163"/>
      <c r="S170" s="163"/>
      <c r="T170" s="164"/>
      <c r="U170" s="163"/>
      <c r="V170" s="163"/>
      <c r="W170" s="164"/>
      <c r="X170" s="98"/>
      <c r="Y170" s="98"/>
      <c r="Z170" s="98"/>
      <c r="AA170" s="98"/>
      <c r="AB170" s="98"/>
      <c r="AC170" s="98"/>
      <c r="AD170" s="98"/>
      <c r="AE170" s="98"/>
      <c r="AF170" s="98"/>
      <c r="AG170" s="98"/>
      <c r="AH170" s="98"/>
      <c r="AI170" s="98"/>
      <c r="AJ170" s="98"/>
      <c r="AK170" s="98"/>
      <c r="AL170" s="98"/>
      <c r="AM170" s="98"/>
      <c r="AN170" s="98"/>
      <c r="AO170" s="98"/>
      <c r="AP170" s="98"/>
      <c r="AQ170" s="98"/>
      <c r="AR170" s="98"/>
      <c r="AS170" s="98"/>
      <c r="AT170" s="98"/>
      <c r="AU170" s="98"/>
      <c r="AV170" s="98"/>
      <c r="AW170" s="98"/>
      <c r="AX170" s="98"/>
      <c r="AY170" s="98"/>
      <c r="AZ170" s="98"/>
      <c r="BA170" s="98"/>
      <c r="BB170" s="98"/>
      <c r="BC170" s="98"/>
      <c r="BD170" s="98"/>
      <c r="BE170" s="98"/>
      <c r="BF170" s="98"/>
      <c r="BG170" s="98"/>
      <c r="BH170" s="98"/>
      <c r="BI170" s="98"/>
      <c r="BJ170" s="98"/>
      <c r="BK170" s="98"/>
      <c r="BL170" s="98"/>
      <c r="BM170" s="98"/>
      <c r="BN170" s="98"/>
      <c r="BO170" s="98"/>
      <c r="BP170" s="98"/>
      <c r="BQ170" s="98"/>
      <c r="BR170" s="98"/>
      <c r="BS170" s="98"/>
      <c r="BT170" s="98"/>
      <c r="BU170" s="98"/>
      <c r="BV170" s="98"/>
      <c r="BW170" s="98"/>
      <c r="BX170" s="98"/>
      <c r="BY170" s="98"/>
      <c r="BZ170" s="98"/>
      <c r="CA170" s="98"/>
      <c r="CB170" s="98"/>
      <c r="CC170" s="98"/>
    </row>
    <row r="171" ht="15.75" customHeight="1">
      <c r="A171" s="98"/>
      <c r="B171" s="98"/>
      <c r="C171" s="98"/>
      <c r="D171" s="98"/>
      <c r="E171" s="98"/>
      <c r="F171" s="98"/>
      <c r="G171" s="98"/>
      <c r="H171" s="98"/>
      <c r="I171" s="99"/>
      <c r="J171" s="99"/>
      <c r="K171" s="99"/>
      <c r="L171" s="99"/>
      <c r="M171" s="99"/>
      <c r="N171" s="99"/>
      <c r="O171" s="99"/>
      <c r="P171" s="162"/>
      <c r="Q171" s="163"/>
      <c r="R171" s="163"/>
      <c r="S171" s="163"/>
      <c r="T171" s="164"/>
      <c r="U171" s="163"/>
      <c r="V171" s="163"/>
      <c r="W171" s="164"/>
      <c r="X171" s="98"/>
      <c r="Y171" s="98"/>
      <c r="Z171" s="98"/>
      <c r="AA171" s="98"/>
      <c r="AB171" s="98"/>
      <c r="AC171" s="98"/>
      <c r="AD171" s="98"/>
      <c r="AE171" s="98"/>
      <c r="AF171" s="98"/>
      <c r="AG171" s="98"/>
      <c r="AH171" s="98"/>
      <c r="AI171" s="98"/>
      <c r="AJ171" s="98"/>
      <c r="AK171" s="98"/>
      <c r="AL171" s="98"/>
      <c r="AM171" s="98"/>
      <c r="AN171" s="98"/>
      <c r="AO171" s="98"/>
      <c r="AP171" s="98"/>
      <c r="AQ171" s="98"/>
      <c r="AR171" s="98"/>
      <c r="AS171" s="98"/>
      <c r="AT171" s="98"/>
      <c r="AU171" s="98"/>
      <c r="AV171" s="98"/>
      <c r="AW171" s="98"/>
      <c r="AX171" s="98"/>
      <c r="AY171" s="98"/>
      <c r="AZ171" s="98"/>
      <c r="BA171" s="98"/>
      <c r="BB171" s="98"/>
      <c r="BC171" s="98"/>
      <c r="BD171" s="98"/>
      <c r="BE171" s="98"/>
      <c r="BF171" s="98"/>
      <c r="BG171" s="98"/>
      <c r="BH171" s="98"/>
      <c r="BI171" s="98"/>
      <c r="BJ171" s="98"/>
      <c r="BK171" s="98"/>
      <c r="BL171" s="98"/>
      <c r="BM171" s="98"/>
      <c r="BN171" s="98"/>
      <c r="BO171" s="98"/>
      <c r="BP171" s="98"/>
      <c r="BQ171" s="98"/>
      <c r="BR171" s="98"/>
      <c r="BS171" s="98"/>
      <c r="BT171" s="98"/>
      <c r="BU171" s="98"/>
      <c r="BV171" s="98"/>
      <c r="BW171" s="98"/>
      <c r="BX171" s="98"/>
      <c r="BY171" s="98"/>
      <c r="BZ171" s="98"/>
      <c r="CA171" s="98"/>
      <c r="CB171" s="98"/>
      <c r="CC171" s="98"/>
    </row>
    <row r="172" ht="15.75" customHeight="1">
      <c r="A172" s="98"/>
      <c r="B172" s="98"/>
      <c r="C172" s="98"/>
      <c r="D172" s="98"/>
      <c r="E172" s="98"/>
      <c r="F172" s="98"/>
      <c r="G172" s="98"/>
      <c r="H172" s="98"/>
      <c r="I172" s="99"/>
      <c r="J172" s="99"/>
      <c r="K172" s="99"/>
      <c r="L172" s="99"/>
      <c r="M172" s="99"/>
      <c r="N172" s="99"/>
      <c r="O172" s="99"/>
      <c r="P172" s="162"/>
      <c r="Q172" s="163"/>
      <c r="R172" s="163"/>
      <c r="S172" s="163"/>
      <c r="T172" s="164"/>
      <c r="U172" s="163"/>
      <c r="V172" s="163"/>
      <c r="W172" s="164"/>
      <c r="X172" s="98"/>
      <c r="Y172" s="98"/>
      <c r="Z172" s="98"/>
      <c r="AA172" s="98"/>
      <c r="AB172" s="98"/>
      <c r="AC172" s="98"/>
      <c r="AD172" s="98"/>
      <c r="AE172" s="98"/>
      <c r="AF172" s="98"/>
      <c r="AG172" s="98"/>
      <c r="AH172" s="98"/>
      <c r="AI172" s="98"/>
      <c r="AJ172" s="98"/>
      <c r="AK172" s="98"/>
      <c r="AL172" s="98"/>
      <c r="AM172" s="98"/>
      <c r="AN172" s="98"/>
      <c r="AO172" s="98"/>
      <c r="AP172" s="98"/>
      <c r="AQ172" s="98"/>
      <c r="AR172" s="98"/>
      <c r="AS172" s="98"/>
      <c r="AT172" s="98"/>
      <c r="AU172" s="98"/>
      <c r="AV172" s="98"/>
      <c r="AW172" s="98"/>
      <c r="AX172" s="98"/>
      <c r="AY172" s="98"/>
      <c r="AZ172" s="98"/>
      <c r="BA172" s="98"/>
      <c r="BB172" s="98"/>
      <c r="BC172" s="98"/>
      <c r="BD172" s="98"/>
      <c r="BE172" s="98"/>
      <c r="BF172" s="98"/>
      <c r="BG172" s="98"/>
      <c r="BH172" s="98"/>
      <c r="BI172" s="98"/>
      <c r="BJ172" s="98"/>
      <c r="BK172" s="98"/>
      <c r="BL172" s="98"/>
      <c r="BM172" s="98"/>
      <c r="BN172" s="98"/>
      <c r="BO172" s="98"/>
      <c r="BP172" s="98"/>
      <c r="BQ172" s="98"/>
      <c r="BR172" s="98"/>
      <c r="BS172" s="98"/>
      <c r="BT172" s="98"/>
      <c r="BU172" s="98"/>
      <c r="BV172" s="98"/>
      <c r="BW172" s="98"/>
      <c r="BX172" s="98"/>
      <c r="BY172" s="98"/>
      <c r="BZ172" s="98"/>
      <c r="CA172" s="98"/>
      <c r="CB172" s="98"/>
      <c r="CC172" s="98"/>
    </row>
    <row r="173" ht="15.75" customHeight="1">
      <c r="A173" s="98"/>
      <c r="B173" s="98"/>
      <c r="C173" s="98"/>
      <c r="D173" s="98"/>
      <c r="E173" s="98"/>
      <c r="F173" s="98"/>
      <c r="G173" s="98"/>
      <c r="H173" s="98"/>
      <c r="I173" s="99"/>
      <c r="J173" s="99"/>
      <c r="K173" s="99"/>
      <c r="L173" s="99"/>
      <c r="M173" s="99"/>
      <c r="N173" s="99"/>
      <c r="O173" s="99"/>
      <c r="P173" s="162"/>
      <c r="Q173" s="163"/>
      <c r="R173" s="163"/>
      <c r="S173" s="163"/>
      <c r="T173" s="164"/>
      <c r="U173" s="163"/>
      <c r="V173" s="163"/>
      <c r="W173" s="164"/>
      <c r="X173" s="98"/>
      <c r="Y173" s="98"/>
      <c r="Z173" s="98"/>
      <c r="AA173" s="98"/>
      <c r="AB173" s="98"/>
      <c r="AC173" s="98"/>
      <c r="AD173" s="98"/>
      <c r="AE173" s="98"/>
      <c r="AF173" s="98"/>
      <c r="AG173" s="98"/>
      <c r="AH173" s="98"/>
      <c r="AI173" s="98"/>
      <c r="AJ173" s="98"/>
      <c r="AK173" s="98"/>
      <c r="AL173" s="98"/>
      <c r="AM173" s="98"/>
      <c r="AN173" s="98"/>
      <c r="AO173" s="98"/>
      <c r="AP173" s="98"/>
      <c r="AQ173" s="98"/>
      <c r="AR173" s="98"/>
      <c r="AS173" s="98"/>
      <c r="AT173" s="98"/>
      <c r="AU173" s="98"/>
      <c r="AV173" s="98"/>
      <c r="AW173" s="98"/>
      <c r="AX173" s="98"/>
      <c r="AY173" s="98"/>
      <c r="AZ173" s="98"/>
      <c r="BA173" s="98"/>
      <c r="BB173" s="98"/>
      <c r="BC173" s="98"/>
      <c r="BD173" s="98"/>
      <c r="BE173" s="98"/>
      <c r="BF173" s="98"/>
      <c r="BG173" s="98"/>
      <c r="BH173" s="98"/>
      <c r="BI173" s="98"/>
      <c r="BJ173" s="98"/>
      <c r="BK173" s="98"/>
      <c r="BL173" s="98"/>
      <c r="BM173" s="98"/>
      <c r="BN173" s="98"/>
      <c r="BO173" s="98"/>
      <c r="BP173" s="98"/>
      <c r="BQ173" s="98"/>
      <c r="BR173" s="98"/>
      <c r="BS173" s="98"/>
      <c r="BT173" s="98"/>
      <c r="BU173" s="98"/>
      <c r="BV173" s="98"/>
      <c r="BW173" s="98"/>
      <c r="BX173" s="98"/>
      <c r="BY173" s="98"/>
      <c r="BZ173" s="98"/>
      <c r="CA173" s="98"/>
      <c r="CB173" s="98"/>
      <c r="CC173" s="98"/>
    </row>
    <row r="174" ht="15.75" customHeight="1">
      <c r="A174" s="98"/>
      <c r="B174" s="98"/>
      <c r="C174" s="98"/>
      <c r="D174" s="98"/>
      <c r="E174" s="98"/>
      <c r="F174" s="98"/>
      <c r="G174" s="98"/>
      <c r="H174" s="98"/>
      <c r="I174" s="99"/>
      <c r="J174" s="99"/>
      <c r="K174" s="99"/>
      <c r="L174" s="99"/>
      <c r="M174" s="99"/>
      <c r="N174" s="99"/>
      <c r="O174" s="99"/>
      <c r="P174" s="162"/>
      <c r="Q174" s="163"/>
      <c r="R174" s="163"/>
      <c r="S174" s="163"/>
      <c r="T174" s="164"/>
      <c r="U174" s="163"/>
      <c r="V174" s="163"/>
      <c r="W174" s="164"/>
      <c r="X174" s="98"/>
      <c r="Y174" s="98"/>
      <c r="Z174" s="98"/>
      <c r="AA174" s="98"/>
      <c r="AB174" s="98"/>
      <c r="AC174" s="98"/>
      <c r="AD174" s="98"/>
      <c r="AE174" s="98"/>
      <c r="AF174" s="98"/>
      <c r="AG174" s="98"/>
      <c r="AH174" s="98"/>
      <c r="AI174" s="98"/>
      <c r="AJ174" s="98"/>
      <c r="AK174" s="98"/>
      <c r="AL174" s="98"/>
      <c r="AM174" s="98"/>
      <c r="AN174" s="98"/>
      <c r="AO174" s="98"/>
      <c r="AP174" s="98"/>
      <c r="AQ174" s="98"/>
      <c r="AR174" s="98"/>
      <c r="AS174" s="98"/>
      <c r="AT174" s="98"/>
      <c r="AU174" s="98"/>
      <c r="AV174" s="98"/>
      <c r="AW174" s="98"/>
      <c r="AX174" s="98"/>
      <c r="AY174" s="98"/>
      <c r="AZ174" s="98"/>
      <c r="BA174" s="98"/>
      <c r="BB174" s="98"/>
      <c r="BC174" s="98"/>
      <c r="BD174" s="98"/>
      <c r="BE174" s="98"/>
      <c r="BF174" s="98"/>
      <c r="BG174" s="98"/>
      <c r="BH174" s="98"/>
      <c r="BI174" s="98"/>
      <c r="BJ174" s="98"/>
      <c r="BK174" s="98"/>
      <c r="BL174" s="98"/>
      <c r="BM174" s="98"/>
      <c r="BN174" s="98"/>
      <c r="BO174" s="98"/>
      <c r="BP174" s="98"/>
      <c r="BQ174" s="98"/>
      <c r="BR174" s="98"/>
      <c r="BS174" s="98"/>
      <c r="BT174" s="98"/>
      <c r="BU174" s="98"/>
      <c r="BV174" s="98"/>
      <c r="BW174" s="98"/>
      <c r="BX174" s="98"/>
      <c r="BY174" s="98"/>
      <c r="BZ174" s="98"/>
      <c r="CA174" s="98"/>
      <c r="CB174" s="98"/>
      <c r="CC174" s="98"/>
    </row>
    <row r="175" ht="15.75" customHeight="1">
      <c r="A175" s="98"/>
      <c r="B175" s="98"/>
      <c r="C175" s="98"/>
      <c r="D175" s="98"/>
      <c r="E175" s="98"/>
      <c r="F175" s="98"/>
      <c r="G175" s="98"/>
      <c r="H175" s="98"/>
      <c r="I175" s="99"/>
      <c r="J175" s="99"/>
      <c r="K175" s="99"/>
      <c r="L175" s="99"/>
      <c r="M175" s="99"/>
      <c r="N175" s="99"/>
      <c r="O175" s="99"/>
      <c r="P175" s="162"/>
      <c r="Q175" s="163"/>
      <c r="R175" s="163"/>
      <c r="S175" s="163"/>
      <c r="T175" s="164"/>
      <c r="U175" s="163"/>
      <c r="V175" s="163"/>
      <c r="W175" s="164"/>
      <c r="X175" s="98"/>
      <c r="Y175" s="98"/>
      <c r="Z175" s="98"/>
      <c r="AA175" s="98"/>
      <c r="AB175" s="98"/>
      <c r="AC175" s="98"/>
      <c r="AD175" s="98"/>
      <c r="AE175" s="98"/>
      <c r="AF175" s="98"/>
      <c r="AG175" s="98"/>
      <c r="AH175" s="98"/>
      <c r="AI175" s="98"/>
      <c r="AJ175" s="98"/>
      <c r="AK175" s="98"/>
      <c r="AL175" s="98"/>
      <c r="AM175" s="98"/>
      <c r="AN175" s="98"/>
      <c r="AO175" s="98"/>
      <c r="AP175" s="98"/>
      <c r="AQ175" s="98"/>
      <c r="AR175" s="98"/>
      <c r="AS175" s="98"/>
      <c r="AT175" s="98"/>
      <c r="AU175" s="98"/>
      <c r="AV175" s="98"/>
      <c r="AW175" s="98"/>
      <c r="AX175" s="98"/>
      <c r="AY175" s="98"/>
      <c r="AZ175" s="98"/>
      <c r="BA175" s="98"/>
      <c r="BB175" s="98"/>
      <c r="BC175" s="98"/>
      <c r="BD175" s="98"/>
      <c r="BE175" s="98"/>
      <c r="BF175" s="98"/>
      <c r="BG175" s="98"/>
      <c r="BH175" s="98"/>
      <c r="BI175" s="98"/>
      <c r="BJ175" s="98"/>
      <c r="BK175" s="98"/>
      <c r="BL175" s="98"/>
      <c r="BM175" s="98"/>
      <c r="BN175" s="98"/>
      <c r="BO175" s="98"/>
      <c r="BP175" s="98"/>
      <c r="BQ175" s="98"/>
      <c r="BR175" s="98"/>
      <c r="BS175" s="98"/>
      <c r="BT175" s="98"/>
      <c r="BU175" s="98"/>
      <c r="BV175" s="98"/>
      <c r="BW175" s="98"/>
      <c r="BX175" s="98"/>
      <c r="BY175" s="98"/>
      <c r="BZ175" s="98"/>
      <c r="CA175" s="98"/>
      <c r="CB175" s="98"/>
      <c r="CC175" s="98"/>
    </row>
    <row r="176" ht="15.75" customHeight="1">
      <c r="A176" s="98"/>
      <c r="B176" s="98"/>
      <c r="C176" s="98"/>
      <c r="D176" s="98"/>
      <c r="E176" s="98"/>
      <c r="F176" s="98"/>
      <c r="G176" s="98"/>
      <c r="H176" s="98"/>
      <c r="I176" s="99"/>
      <c r="J176" s="99"/>
      <c r="K176" s="99"/>
      <c r="L176" s="99"/>
      <c r="M176" s="99"/>
      <c r="N176" s="99"/>
      <c r="O176" s="99"/>
      <c r="P176" s="162"/>
      <c r="Q176" s="163"/>
      <c r="R176" s="163"/>
      <c r="S176" s="163"/>
      <c r="T176" s="164"/>
      <c r="U176" s="163"/>
      <c r="V176" s="163"/>
      <c r="W176" s="164"/>
      <c r="X176" s="98"/>
      <c r="Y176" s="98"/>
      <c r="Z176" s="98"/>
      <c r="AA176" s="98"/>
      <c r="AB176" s="98"/>
      <c r="AC176" s="98"/>
      <c r="AD176" s="98"/>
      <c r="AE176" s="98"/>
      <c r="AF176" s="98"/>
      <c r="AG176" s="98"/>
      <c r="AH176" s="98"/>
      <c r="AI176" s="98"/>
      <c r="AJ176" s="98"/>
      <c r="AK176" s="98"/>
      <c r="AL176" s="98"/>
      <c r="AM176" s="98"/>
      <c r="AN176" s="98"/>
      <c r="AO176" s="98"/>
      <c r="AP176" s="98"/>
      <c r="AQ176" s="98"/>
      <c r="AR176" s="98"/>
      <c r="AS176" s="98"/>
      <c r="AT176" s="98"/>
      <c r="AU176" s="98"/>
      <c r="AV176" s="98"/>
      <c r="AW176" s="98"/>
      <c r="AX176" s="98"/>
      <c r="AY176" s="98"/>
      <c r="AZ176" s="98"/>
      <c r="BA176" s="98"/>
      <c r="BB176" s="98"/>
      <c r="BC176" s="98"/>
      <c r="BD176" s="98"/>
      <c r="BE176" s="98"/>
      <c r="BF176" s="98"/>
      <c r="BG176" s="98"/>
      <c r="BH176" s="98"/>
      <c r="BI176" s="98"/>
      <c r="BJ176" s="98"/>
      <c r="BK176" s="98"/>
      <c r="BL176" s="98"/>
      <c r="BM176" s="98"/>
      <c r="BN176" s="98"/>
      <c r="BO176" s="98"/>
      <c r="BP176" s="98"/>
      <c r="BQ176" s="98"/>
      <c r="BR176" s="98"/>
      <c r="BS176" s="98"/>
      <c r="BT176" s="98"/>
      <c r="BU176" s="98"/>
      <c r="BV176" s="98"/>
      <c r="BW176" s="98"/>
      <c r="BX176" s="98"/>
      <c r="BY176" s="98"/>
      <c r="BZ176" s="98"/>
      <c r="CA176" s="98"/>
      <c r="CB176" s="98"/>
      <c r="CC176" s="98"/>
    </row>
    <row r="177" ht="15.75" customHeight="1">
      <c r="A177" s="98"/>
      <c r="B177" s="98"/>
      <c r="C177" s="98"/>
      <c r="D177" s="98"/>
      <c r="E177" s="98"/>
      <c r="F177" s="98"/>
      <c r="G177" s="98"/>
      <c r="H177" s="98"/>
      <c r="I177" s="99"/>
      <c r="J177" s="99"/>
      <c r="K177" s="99"/>
      <c r="L177" s="99"/>
      <c r="M177" s="99"/>
      <c r="N177" s="99"/>
      <c r="O177" s="99"/>
      <c r="P177" s="162"/>
      <c r="Q177" s="163"/>
      <c r="R177" s="163"/>
      <c r="S177" s="163"/>
      <c r="T177" s="164"/>
      <c r="U177" s="163"/>
      <c r="V177" s="163"/>
      <c r="W177" s="164"/>
      <c r="X177" s="98"/>
      <c r="Y177" s="98"/>
      <c r="Z177" s="98"/>
      <c r="AA177" s="98"/>
      <c r="AB177" s="98"/>
      <c r="AC177" s="98"/>
      <c r="AD177" s="98"/>
      <c r="AE177" s="98"/>
      <c r="AF177" s="98"/>
      <c r="AG177" s="98"/>
      <c r="AH177" s="98"/>
      <c r="AI177" s="98"/>
      <c r="AJ177" s="98"/>
      <c r="AK177" s="98"/>
      <c r="AL177" s="98"/>
      <c r="AM177" s="98"/>
      <c r="AN177" s="98"/>
      <c r="AO177" s="98"/>
      <c r="AP177" s="98"/>
      <c r="AQ177" s="98"/>
      <c r="AR177" s="98"/>
      <c r="AS177" s="98"/>
      <c r="AT177" s="98"/>
      <c r="AU177" s="98"/>
      <c r="AV177" s="98"/>
      <c r="AW177" s="98"/>
      <c r="AX177" s="98"/>
      <c r="AY177" s="98"/>
      <c r="AZ177" s="98"/>
      <c r="BA177" s="98"/>
      <c r="BB177" s="98"/>
      <c r="BC177" s="98"/>
      <c r="BD177" s="98"/>
      <c r="BE177" s="98"/>
      <c r="BF177" s="98"/>
      <c r="BG177" s="98"/>
      <c r="BH177" s="98"/>
      <c r="BI177" s="98"/>
      <c r="BJ177" s="98"/>
      <c r="BK177" s="98"/>
      <c r="BL177" s="98"/>
      <c r="BM177" s="98"/>
      <c r="BN177" s="98"/>
      <c r="BO177" s="98"/>
      <c r="BP177" s="98"/>
      <c r="BQ177" s="98"/>
      <c r="BR177" s="98"/>
      <c r="BS177" s="98"/>
      <c r="BT177" s="98"/>
      <c r="BU177" s="98"/>
      <c r="BV177" s="98"/>
      <c r="BW177" s="98"/>
      <c r="BX177" s="98"/>
      <c r="BY177" s="98"/>
      <c r="BZ177" s="98"/>
      <c r="CA177" s="98"/>
      <c r="CB177" s="98"/>
      <c r="CC177" s="98"/>
    </row>
    <row r="178" ht="15.75" customHeight="1">
      <c r="A178" s="98"/>
      <c r="B178" s="98"/>
      <c r="C178" s="98"/>
      <c r="D178" s="98"/>
      <c r="E178" s="98"/>
      <c r="F178" s="98"/>
      <c r="G178" s="98"/>
      <c r="H178" s="98"/>
      <c r="I178" s="99"/>
      <c r="J178" s="99"/>
      <c r="K178" s="99"/>
      <c r="L178" s="99"/>
      <c r="M178" s="99"/>
      <c r="N178" s="99"/>
      <c r="O178" s="99"/>
      <c r="P178" s="162"/>
      <c r="Q178" s="163"/>
      <c r="R178" s="163"/>
      <c r="S178" s="163"/>
      <c r="T178" s="164"/>
      <c r="U178" s="163"/>
      <c r="V178" s="163"/>
      <c r="W178" s="164"/>
      <c r="X178" s="98"/>
      <c r="Y178" s="98"/>
      <c r="Z178" s="98"/>
      <c r="AA178" s="98"/>
      <c r="AB178" s="98"/>
      <c r="AC178" s="98"/>
      <c r="AD178" s="98"/>
      <c r="AE178" s="98"/>
      <c r="AF178" s="98"/>
      <c r="AG178" s="98"/>
      <c r="AH178" s="98"/>
      <c r="AI178" s="98"/>
      <c r="AJ178" s="98"/>
      <c r="AK178" s="98"/>
      <c r="AL178" s="98"/>
      <c r="AM178" s="98"/>
      <c r="AN178" s="98"/>
      <c r="AO178" s="98"/>
      <c r="AP178" s="98"/>
      <c r="AQ178" s="98"/>
      <c r="AR178" s="98"/>
      <c r="AS178" s="98"/>
      <c r="AT178" s="98"/>
      <c r="AU178" s="98"/>
      <c r="AV178" s="98"/>
      <c r="AW178" s="98"/>
      <c r="AX178" s="98"/>
      <c r="AY178" s="98"/>
      <c r="AZ178" s="98"/>
      <c r="BA178" s="98"/>
      <c r="BB178" s="98"/>
      <c r="BC178" s="98"/>
      <c r="BD178" s="98"/>
      <c r="BE178" s="98"/>
      <c r="BF178" s="98"/>
      <c r="BG178" s="98"/>
      <c r="BH178" s="98"/>
      <c r="BI178" s="98"/>
      <c r="BJ178" s="98"/>
      <c r="BK178" s="98"/>
      <c r="BL178" s="98"/>
      <c r="BM178" s="98"/>
      <c r="BN178" s="98"/>
      <c r="BO178" s="98"/>
      <c r="BP178" s="98"/>
      <c r="BQ178" s="98"/>
      <c r="BR178" s="98"/>
      <c r="BS178" s="98"/>
      <c r="BT178" s="98"/>
      <c r="BU178" s="98"/>
      <c r="BV178" s="98"/>
      <c r="BW178" s="98"/>
      <c r="BX178" s="98"/>
      <c r="BY178" s="98"/>
      <c r="BZ178" s="98"/>
      <c r="CA178" s="98"/>
      <c r="CB178" s="98"/>
      <c r="CC178" s="98"/>
    </row>
    <row r="179" ht="15.75" customHeight="1">
      <c r="A179" s="98"/>
      <c r="B179" s="98"/>
      <c r="C179" s="98"/>
      <c r="D179" s="98"/>
      <c r="E179" s="98"/>
      <c r="F179" s="98"/>
      <c r="G179" s="98"/>
      <c r="H179" s="98"/>
      <c r="I179" s="99"/>
      <c r="J179" s="99"/>
      <c r="K179" s="99"/>
      <c r="L179" s="99"/>
      <c r="M179" s="99"/>
      <c r="N179" s="99"/>
      <c r="O179" s="99"/>
      <c r="P179" s="162"/>
      <c r="Q179" s="163"/>
      <c r="R179" s="163"/>
      <c r="S179" s="163"/>
      <c r="T179" s="164"/>
      <c r="U179" s="163"/>
      <c r="V179" s="163"/>
      <c r="W179" s="164"/>
      <c r="X179" s="98"/>
      <c r="Y179" s="98"/>
      <c r="Z179" s="98"/>
      <c r="AA179" s="98"/>
      <c r="AB179" s="98"/>
      <c r="AC179" s="98"/>
      <c r="AD179" s="98"/>
      <c r="AE179" s="98"/>
      <c r="AF179" s="98"/>
      <c r="AG179" s="98"/>
      <c r="AH179" s="98"/>
      <c r="AI179" s="98"/>
      <c r="AJ179" s="98"/>
      <c r="AK179" s="98"/>
      <c r="AL179" s="98"/>
      <c r="AM179" s="98"/>
      <c r="AN179" s="98"/>
      <c r="AO179" s="98"/>
      <c r="AP179" s="98"/>
      <c r="AQ179" s="98"/>
      <c r="AR179" s="98"/>
      <c r="AS179" s="98"/>
      <c r="AT179" s="98"/>
      <c r="AU179" s="98"/>
      <c r="AV179" s="98"/>
      <c r="AW179" s="98"/>
      <c r="AX179" s="98"/>
      <c r="AY179" s="98"/>
      <c r="AZ179" s="98"/>
      <c r="BA179" s="98"/>
      <c r="BB179" s="98"/>
      <c r="BC179" s="98"/>
      <c r="BD179" s="98"/>
      <c r="BE179" s="98"/>
      <c r="BF179" s="98"/>
      <c r="BG179" s="98"/>
      <c r="BH179" s="98"/>
      <c r="BI179" s="98"/>
      <c r="BJ179" s="98"/>
      <c r="BK179" s="98"/>
      <c r="BL179" s="98"/>
      <c r="BM179" s="98"/>
      <c r="BN179" s="98"/>
      <c r="BO179" s="98"/>
      <c r="BP179" s="98"/>
      <c r="BQ179" s="98"/>
      <c r="BR179" s="98"/>
      <c r="BS179" s="98"/>
      <c r="BT179" s="98"/>
      <c r="BU179" s="98"/>
      <c r="BV179" s="98"/>
      <c r="BW179" s="98"/>
      <c r="BX179" s="98"/>
      <c r="BY179" s="98"/>
      <c r="BZ179" s="98"/>
      <c r="CA179" s="98"/>
      <c r="CB179" s="98"/>
      <c r="CC179" s="98"/>
    </row>
    <row r="180" ht="15.75" customHeight="1">
      <c r="A180" s="98"/>
      <c r="B180" s="98"/>
      <c r="C180" s="98"/>
      <c r="D180" s="98"/>
      <c r="E180" s="98"/>
      <c r="F180" s="98"/>
      <c r="G180" s="98"/>
      <c r="H180" s="98"/>
      <c r="I180" s="99"/>
      <c r="J180" s="99"/>
      <c r="K180" s="99"/>
      <c r="L180" s="99"/>
      <c r="M180" s="99"/>
      <c r="N180" s="99"/>
      <c r="O180" s="99"/>
      <c r="P180" s="162"/>
      <c r="Q180" s="163"/>
      <c r="R180" s="163"/>
      <c r="S180" s="163"/>
      <c r="T180" s="164"/>
      <c r="U180" s="163"/>
      <c r="V180" s="163"/>
      <c r="W180" s="164"/>
      <c r="X180" s="98"/>
      <c r="Y180" s="98"/>
      <c r="Z180" s="98"/>
      <c r="AA180" s="98"/>
      <c r="AB180" s="98"/>
      <c r="AC180" s="98"/>
      <c r="AD180" s="98"/>
      <c r="AE180" s="98"/>
      <c r="AF180" s="98"/>
      <c r="AG180" s="98"/>
      <c r="AH180" s="98"/>
      <c r="AI180" s="98"/>
      <c r="AJ180" s="98"/>
      <c r="AK180" s="98"/>
      <c r="AL180" s="98"/>
      <c r="AM180" s="98"/>
      <c r="AN180" s="98"/>
      <c r="AO180" s="98"/>
      <c r="AP180" s="98"/>
      <c r="AQ180" s="98"/>
      <c r="AR180" s="98"/>
      <c r="AS180" s="98"/>
      <c r="AT180" s="98"/>
      <c r="AU180" s="98"/>
      <c r="AV180" s="98"/>
      <c r="AW180" s="98"/>
      <c r="AX180" s="98"/>
      <c r="AY180" s="98"/>
      <c r="AZ180" s="98"/>
      <c r="BA180" s="98"/>
      <c r="BB180" s="98"/>
      <c r="BC180" s="98"/>
      <c r="BD180" s="98"/>
      <c r="BE180" s="98"/>
      <c r="BF180" s="98"/>
      <c r="BG180" s="98"/>
      <c r="BH180" s="98"/>
      <c r="BI180" s="98"/>
      <c r="BJ180" s="98"/>
      <c r="BK180" s="98"/>
      <c r="BL180" s="98"/>
      <c r="BM180" s="98"/>
      <c r="BN180" s="98"/>
      <c r="BO180" s="98"/>
      <c r="BP180" s="98"/>
      <c r="BQ180" s="98"/>
      <c r="BR180" s="98"/>
      <c r="BS180" s="98"/>
      <c r="BT180" s="98"/>
      <c r="BU180" s="98"/>
      <c r="BV180" s="98"/>
      <c r="BW180" s="98"/>
      <c r="BX180" s="98"/>
      <c r="BY180" s="98"/>
      <c r="BZ180" s="98"/>
      <c r="CA180" s="98"/>
      <c r="CB180" s="98"/>
      <c r="CC180" s="98"/>
    </row>
    <row r="181" ht="15.75" customHeight="1">
      <c r="A181" s="98"/>
      <c r="B181" s="98"/>
      <c r="C181" s="98"/>
      <c r="D181" s="98"/>
      <c r="E181" s="98"/>
      <c r="F181" s="98"/>
      <c r="G181" s="98"/>
      <c r="H181" s="98"/>
      <c r="I181" s="99"/>
      <c r="J181" s="99"/>
      <c r="K181" s="99"/>
      <c r="L181" s="99"/>
      <c r="M181" s="99"/>
      <c r="N181" s="99"/>
      <c r="O181" s="99"/>
      <c r="P181" s="162"/>
      <c r="Q181" s="163"/>
      <c r="R181" s="163"/>
      <c r="S181" s="163"/>
      <c r="T181" s="164"/>
      <c r="U181" s="163"/>
      <c r="V181" s="163"/>
      <c r="W181" s="164"/>
      <c r="X181" s="98"/>
      <c r="Y181" s="98"/>
      <c r="Z181" s="98"/>
      <c r="AA181" s="98"/>
      <c r="AB181" s="98"/>
      <c r="AC181" s="98"/>
      <c r="AD181" s="98"/>
      <c r="AE181" s="98"/>
      <c r="AF181" s="98"/>
      <c r="AG181" s="98"/>
      <c r="AH181" s="98"/>
      <c r="AI181" s="98"/>
      <c r="AJ181" s="98"/>
      <c r="AK181" s="98"/>
      <c r="AL181" s="98"/>
      <c r="AM181" s="98"/>
      <c r="AN181" s="98"/>
      <c r="AO181" s="98"/>
      <c r="AP181" s="98"/>
      <c r="AQ181" s="98"/>
      <c r="AR181" s="98"/>
      <c r="AS181" s="98"/>
      <c r="AT181" s="98"/>
      <c r="AU181" s="98"/>
      <c r="AV181" s="98"/>
      <c r="AW181" s="98"/>
      <c r="AX181" s="98"/>
      <c r="AY181" s="98"/>
      <c r="AZ181" s="98"/>
      <c r="BA181" s="98"/>
      <c r="BB181" s="98"/>
      <c r="BC181" s="98"/>
      <c r="BD181" s="98"/>
      <c r="BE181" s="98"/>
      <c r="BF181" s="98"/>
      <c r="BG181" s="98"/>
      <c r="BH181" s="98"/>
      <c r="BI181" s="98"/>
      <c r="BJ181" s="98"/>
      <c r="BK181" s="98"/>
      <c r="BL181" s="98"/>
      <c r="BM181" s="98"/>
      <c r="BN181" s="98"/>
      <c r="BO181" s="98"/>
      <c r="BP181" s="98"/>
      <c r="BQ181" s="98"/>
      <c r="BR181" s="98"/>
      <c r="BS181" s="98"/>
      <c r="BT181" s="98"/>
      <c r="BU181" s="98"/>
      <c r="BV181" s="98"/>
      <c r="BW181" s="98"/>
      <c r="BX181" s="98"/>
      <c r="BY181" s="98"/>
      <c r="BZ181" s="98"/>
      <c r="CA181" s="98"/>
      <c r="CB181" s="98"/>
      <c r="CC181" s="98"/>
    </row>
    <row r="182" ht="15.75" customHeight="1">
      <c r="A182" s="98"/>
      <c r="B182" s="98"/>
      <c r="C182" s="98"/>
      <c r="D182" s="98"/>
      <c r="E182" s="98"/>
      <c r="F182" s="98"/>
      <c r="G182" s="98"/>
      <c r="H182" s="98"/>
      <c r="I182" s="99"/>
      <c r="J182" s="99"/>
      <c r="K182" s="99"/>
      <c r="L182" s="99"/>
      <c r="M182" s="99"/>
      <c r="N182" s="99"/>
      <c r="O182" s="99"/>
      <c r="P182" s="162"/>
      <c r="Q182" s="163"/>
      <c r="R182" s="163"/>
      <c r="S182" s="163"/>
      <c r="T182" s="164"/>
      <c r="U182" s="163"/>
      <c r="V182" s="163"/>
      <c r="W182" s="164"/>
      <c r="X182" s="98"/>
      <c r="Y182" s="98"/>
      <c r="Z182" s="98"/>
      <c r="AA182" s="98"/>
      <c r="AB182" s="98"/>
      <c r="AC182" s="98"/>
      <c r="AD182" s="98"/>
      <c r="AE182" s="98"/>
      <c r="AF182" s="98"/>
      <c r="AG182" s="98"/>
      <c r="AH182" s="98"/>
      <c r="AI182" s="98"/>
      <c r="AJ182" s="98"/>
      <c r="AK182" s="98"/>
      <c r="AL182" s="98"/>
      <c r="AM182" s="98"/>
      <c r="AN182" s="98"/>
      <c r="AO182" s="98"/>
      <c r="AP182" s="98"/>
      <c r="AQ182" s="98"/>
      <c r="AR182" s="98"/>
      <c r="AS182" s="98"/>
      <c r="AT182" s="98"/>
      <c r="AU182" s="98"/>
      <c r="AV182" s="98"/>
      <c r="AW182" s="98"/>
      <c r="AX182" s="98"/>
      <c r="AY182" s="98"/>
      <c r="AZ182" s="98"/>
      <c r="BA182" s="98"/>
      <c r="BB182" s="98"/>
      <c r="BC182" s="98"/>
      <c r="BD182" s="98"/>
      <c r="BE182" s="98"/>
      <c r="BF182" s="98"/>
      <c r="BG182" s="98"/>
      <c r="BH182" s="98"/>
      <c r="BI182" s="98"/>
      <c r="BJ182" s="98"/>
      <c r="BK182" s="98"/>
      <c r="BL182" s="98"/>
      <c r="BM182" s="98"/>
      <c r="BN182" s="98"/>
      <c r="BO182" s="98"/>
      <c r="BP182" s="98"/>
      <c r="BQ182" s="98"/>
      <c r="BR182" s="98"/>
      <c r="BS182" s="98"/>
      <c r="BT182" s="98"/>
      <c r="BU182" s="98"/>
      <c r="BV182" s="98"/>
      <c r="BW182" s="98"/>
      <c r="BX182" s="98"/>
      <c r="BY182" s="98"/>
      <c r="BZ182" s="98"/>
      <c r="CA182" s="98"/>
      <c r="CB182" s="98"/>
      <c r="CC182" s="98"/>
    </row>
    <row r="183" ht="15.75" customHeight="1">
      <c r="A183" s="98"/>
      <c r="B183" s="98"/>
      <c r="C183" s="98"/>
      <c r="D183" s="98"/>
      <c r="E183" s="98"/>
      <c r="F183" s="98"/>
      <c r="G183" s="98"/>
      <c r="H183" s="98"/>
      <c r="I183" s="99"/>
      <c r="J183" s="99"/>
      <c r="K183" s="99"/>
      <c r="L183" s="99"/>
      <c r="M183" s="99"/>
      <c r="N183" s="99"/>
      <c r="O183" s="99"/>
      <c r="P183" s="162"/>
      <c r="Q183" s="163"/>
      <c r="R183" s="163"/>
      <c r="S183" s="163"/>
      <c r="T183" s="164"/>
      <c r="U183" s="163"/>
      <c r="V183" s="163"/>
      <c r="W183" s="164"/>
      <c r="X183" s="98"/>
      <c r="Y183" s="98"/>
      <c r="Z183" s="98"/>
      <c r="AA183" s="98"/>
      <c r="AB183" s="98"/>
      <c r="AC183" s="98"/>
      <c r="AD183" s="98"/>
      <c r="AE183" s="98"/>
      <c r="AF183" s="98"/>
      <c r="AG183" s="98"/>
      <c r="AH183" s="98"/>
      <c r="AI183" s="98"/>
      <c r="AJ183" s="98"/>
      <c r="AK183" s="98"/>
      <c r="AL183" s="98"/>
      <c r="AM183" s="98"/>
      <c r="AN183" s="98"/>
      <c r="AO183" s="98"/>
      <c r="AP183" s="98"/>
      <c r="AQ183" s="98"/>
      <c r="AR183" s="98"/>
      <c r="AS183" s="98"/>
      <c r="AT183" s="98"/>
      <c r="AU183" s="98"/>
      <c r="AV183" s="98"/>
      <c r="AW183" s="98"/>
      <c r="AX183" s="98"/>
      <c r="AY183" s="98"/>
      <c r="AZ183" s="98"/>
      <c r="BA183" s="98"/>
      <c r="BB183" s="98"/>
      <c r="BC183" s="98"/>
      <c r="BD183" s="98"/>
      <c r="BE183" s="98"/>
      <c r="BF183" s="98"/>
      <c r="BG183" s="98"/>
      <c r="BH183" s="98"/>
      <c r="BI183" s="98"/>
      <c r="BJ183" s="98"/>
      <c r="BK183" s="98"/>
      <c r="BL183" s="98"/>
      <c r="BM183" s="98"/>
      <c r="BN183" s="98"/>
      <c r="BO183" s="98"/>
      <c r="BP183" s="98"/>
      <c r="BQ183" s="98"/>
      <c r="BR183" s="98"/>
      <c r="BS183" s="98"/>
      <c r="BT183" s="98"/>
      <c r="BU183" s="98"/>
      <c r="BV183" s="98"/>
      <c r="BW183" s="98"/>
      <c r="BX183" s="98"/>
      <c r="BY183" s="98"/>
      <c r="BZ183" s="98"/>
      <c r="CA183" s="98"/>
      <c r="CB183" s="98"/>
      <c r="CC183" s="98"/>
    </row>
    <row r="184" ht="15.75" customHeight="1">
      <c r="A184" s="98"/>
      <c r="B184" s="98"/>
      <c r="C184" s="98"/>
      <c r="D184" s="98"/>
      <c r="E184" s="98"/>
      <c r="F184" s="98"/>
      <c r="G184" s="98"/>
      <c r="H184" s="98"/>
      <c r="I184" s="99"/>
      <c r="J184" s="99"/>
      <c r="K184" s="99"/>
      <c r="L184" s="99"/>
      <c r="M184" s="99"/>
      <c r="N184" s="99"/>
      <c r="O184" s="99"/>
      <c r="P184" s="162"/>
      <c r="Q184" s="163"/>
      <c r="R184" s="163"/>
      <c r="S184" s="163"/>
      <c r="T184" s="164"/>
      <c r="U184" s="163"/>
      <c r="V184" s="163"/>
      <c r="W184" s="164"/>
      <c r="X184" s="98"/>
      <c r="Y184" s="98"/>
      <c r="Z184" s="98"/>
      <c r="AA184" s="98"/>
      <c r="AB184" s="98"/>
      <c r="AC184" s="98"/>
      <c r="AD184" s="98"/>
      <c r="AE184" s="98"/>
      <c r="AF184" s="98"/>
      <c r="AG184" s="98"/>
      <c r="AH184" s="98"/>
      <c r="AI184" s="98"/>
      <c r="AJ184" s="98"/>
      <c r="AK184" s="98"/>
      <c r="AL184" s="98"/>
      <c r="AM184" s="98"/>
      <c r="AN184" s="98"/>
      <c r="AO184" s="98"/>
      <c r="AP184" s="98"/>
      <c r="AQ184" s="98"/>
      <c r="AR184" s="98"/>
      <c r="AS184" s="98"/>
      <c r="AT184" s="98"/>
      <c r="AU184" s="98"/>
      <c r="AV184" s="98"/>
      <c r="AW184" s="98"/>
      <c r="AX184" s="98"/>
      <c r="AY184" s="98"/>
      <c r="AZ184" s="98"/>
      <c r="BA184" s="98"/>
      <c r="BB184" s="98"/>
      <c r="BC184" s="98"/>
      <c r="BD184" s="98"/>
      <c r="BE184" s="98"/>
      <c r="BF184" s="98"/>
      <c r="BG184" s="98"/>
      <c r="BH184" s="98"/>
      <c r="BI184" s="98"/>
      <c r="BJ184" s="98"/>
      <c r="BK184" s="98"/>
      <c r="BL184" s="98"/>
      <c r="BM184" s="98"/>
      <c r="BN184" s="98"/>
      <c r="BO184" s="98"/>
      <c r="BP184" s="98"/>
      <c r="BQ184" s="98"/>
      <c r="BR184" s="98"/>
      <c r="BS184" s="98"/>
      <c r="BT184" s="98"/>
      <c r="BU184" s="98"/>
      <c r="BV184" s="98"/>
      <c r="BW184" s="98"/>
      <c r="BX184" s="98"/>
      <c r="BY184" s="98"/>
      <c r="BZ184" s="98"/>
      <c r="CA184" s="98"/>
      <c r="CB184" s="98"/>
      <c r="CC184" s="98"/>
    </row>
    <row r="185" ht="15.75" customHeight="1">
      <c r="A185" s="98"/>
      <c r="B185" s="98"/>
      <c r="C185" s="98"/>
      <c r="D185" s="98"/>
      <c r="E185" s="98"/>
      <c r="F185" s="98"/>
      <c r="G185" s="98"/>
      <c r="H185" s="98"/>
      <c r="I185" s="99"/>
      <c r="J185" s="99"/>
      <c r="K185" s="99"/>
      <c r="L185" s="99"/>
      <c r="M185" s="99"/>
      <c r="N185" s="99"/>
      <c r="O185" s="99"/>
      <c r="P185" s="162"/>
      <c r="Q185" s="163"/>
      <c r="R185" s="163"/>
      <c r="S185" s="163"/>
      <c r="T185" s="164"/>
      <c r="U185" s="163"/>
      <c r="V185" s="163"/>
      <c r="W185" s="164"/>
      <c r="X185" s="98"/>
      <c r="Y185" s="98"/>
      <c r="Z185" s="98"/>
      <c r="AA185" s="98"/>
      <c r="AB185" s="98"/>
      <c r="AC185" s="98"/>
      <c r="AD185" s="98"/>
      <c r="AE185" s="98"/>
      <c r="AF185" s="98"/>
      <c r="AG185" s="98"/>
      <c r="AH185" s="98"/>
      <c r="AI185" s="98"/>
      <c r="AJ185" s="98"/>
      <c r="AK185" s="98"/>
      <c r="AL185" s="98"/>
      <c r="AM185" s="98"/>
      <c r="AN185" s="98"/>
      <c r="AO185" s="98"/>
      <c r="AP185" s="98"/>
      <c r="AQ185" s="98"/>
      <c r="AR185" s="98"/>
      <c r="AS185" s="98"/>
      <c r="AT185" s="98"/>
      <c r="AU185" s="98"/>
      <c r="AV185" s="98"/>
      <c r="AW185" s="98"/>
      <c r="AX185" s="98"/>
      <c r="AY185" s="98"/>
      <c r="AZ185" s="98"/>
      <c r="BA185" s="98"/>
      <c r="BB185" s="98"/>
      <c r="BC185" s="98"/>
      <c r="BD185" s="98"/>
      <c r="BE185" s="98"/>
      <c r="BF185" s="98"/>
      <c r="BG185" s="98"/>
      <c r="BH185" s="98"/>
      <c r="BI185" s="98"/>
      <c r="BJ185" s="98"/>
      <c r="BK185" s="98"/>
      <c r="BL185" s="98"/>
      <c r="BM185" s="98"/>
      <c r="BN185" s="98"/>
      <c r="BO185" s="98"/>
      <c r="BP185" s="98"/>
      <c r="BQ185" s="98"/>
      <c r="BR185" s="98"/>
      <c r="BS185" s="98"/>
      <c r="BT185" s="98"/>
      <c r="BU185" s="98"/>
      <c r="BV185" s="98"/>
      <c r="BW185" s="98"/>
      <c r="BX185" s="98"/>
      <c r="BY185" s="98"/>
      <c r="BZ185" s="98"/>
      <c r="CA185" s="98"/>
      <c r="CB185" s="98"/>
      <c r="CC185" s="98"/>
    </row>
    <row r="186" ht="15.75" customHeight="1">
      <c r="A186" s="98"/>
      <c r="B186" s="98"/>
      <c r="C186" s="98"/>
      <c r="D186" s="98"/>
      <c r="E186" s="98"/>
      <c r="F186" s="98"/>
      <c r="G186" s="98"/>
      <c r="H186" s="98"/>
      <c r="I186" s="99"/>
      <c r="J186" s="99"/>
      <c r="K186" s="99"/>
      <c r="L186" s="99"/>
      <c r="M186" s="99"/>
      <c r="N186" s="99"/>
      <c r="O186" s="99"/>
      <c r="P186" s="162"/>
      <c r="Q186" s="163"/>
      <c r="R186" s="163"/>
      <c r="S186" s="163"/>
      <c r="T186" s="164"/>
      <c r="U186" s="163"/>
      <c r="V186" s="163"/>
      <c r="W186" s="164"/>
      <c r="X186" s="98"/>
      <c r="Y186" s="98"/>
      <c r="Z186" s="98"/>
      <c r="AA186" s="98"/>
      <c r="AB186" s="98"/>
      <c r="AC186" s="98"/>
      <c r="AD186" s="98"/>
      <c r="AE186" s="98"/>
      <c r="AF186" s="98"/>
      <c r="AG186" s="98"/>
      <c r="AH186" s="98"/>
      <c r="AI186" s="98"/>
      <c r="AJ186" s="98"/>
      <c r="AK186" s="98"/>
      <c r="AL186" s="98"/>
      <c r="AM186" s="98"/>
      <c r="AN186" s="98"/>
      <c r="AO186" s="98"/>
      <c r="AP186" s="98"/>
      <c r="AQ186" s="98"/>
      <c r="AR186" s="98"/>
      <c r="AS186" s="98"/>
      <c r="AT186" s="98"/>
      <c r="AU186" s="98"/>
      <c r="AV186" s="98"/>
      <c r="AW186" s="98"/>
      <c r="AX186" s="98"/>
      <c r="AY186" s="98"/>
      <c r="AZ186" s="98"/>
      <c r="BA186" s="98"/>
      <c r="BB186" s="98"/>
      <c r="BC186" s="98"/>
      <c r="BD186" s="98"/>
      <c r="BE186" s="98"/>
      <c r="BF186" s="98"/>
      <c r="BG186" s="98"/>
      <c r="BH186" s="98"/>
      <c r="BI186" s="98"/>
      <c r="BJ186" s="98"/>
      <c r="BK186" s="98"/>
      <c r="BL186" s="98"/>
      <c r="BM186" s="98"/>
      <c r="BN186" s="98"/>
      <c r="BO186" s="98"/>
      <c r="BP186" s="98"/>
      <c r="BQ186" s="98"/>
      <c r="BR186" s="98"/>
      <c r="BS186" s="98"/>
      <c r="BT186" s="98"/>
      <c r="BU186" s="98"/>
      <c r="BV186" s="98"/>
      <c r="BW186" s="98"/>
      <c r="BX186" s="98"/>
      <c r="BY186" s="98"/>
      <c r="BZ186" s="98"/>
      <c r="CA186" s="98"/>
      <c r="CB186" s="98"/>
      <c r="CC186" s="98"/>
    </row>
    <row r="187" ht="15.75" customHeight="1">
      <c r="A187" s="98"/>
      <c r="B187" s="98"/>
      <c r="C187" s="98"/>
      <c r="D187" s="98"/>
      <c r="E187" s="98"/>
      <c r="F187" s="98"/>
      <c r="G187" s="98"/>
      <c r="H187" s="98"/>
      <c r="I187" s="99"/>
      <c r="J187" s="99"/>
      <c r="K187" s="99"/>
      <c r="L187" s="99"/>
      <c r="M187" s="99"/>
      <c r="N187" s="99"/>
      <c r="O187" s="99"/>
      <c r="P187" s="162"/>
      <c r="Q187" s="163"/>
      <c r="R187" s="163"/>
      <c r="S187" s="163"/>
      <c r="T187" s="164"/>
      <c r="U187" s="163"/>
      <c r="V187" s="163"/>
      <c r="W187" s="164"/>
      <c r="X187" s="98"/>
      <c r="Y187" s="98"/>
      <c r="Z187" s="98"/>
      <c r="AA187" s="98"/>
      <c r="AB187" s="98"/>
      <c r="AC187" s="98"/>
      <c r="AD187" s="98"/>
      <c r="AE187" s="98"/>
      <c r="AF187" s="98"/>
      <c r="AG187" s="98"/>
      <c r="AH187" s="98"/>
      <c r="AI187" s="98"/>
      <c r="AJ187" s="98"/>
      <c r="AK187" s="98"/>
      <c r="AL187" s="98"/>
      <c r="AM187" s="98"/>
      <c r="AN187" s="98"/>
      <c r="AO187" s="98"/>
      <c r="AP187" s="98"/>
      <c r="AQ187" s="98"/>
      <c r="AR187" s="98"/>
      <c r="AS187" s="98"/>
      <c r="AT187" s="98"/>
      <c r="AU187" s="98"/>
      <c r="AV187" s="98"/>
      <c r="AW187" s="98"/>
      <c r="AX187" s="98"/>
      <c r="AY187" s="98"/>
      <c r="AZ187" s="98"/>
      <c r="BA187" s="98"/>
      <c r="BB187" s="98"/>
      <c r="BC187" s="98"/>
      <c r="BD187" s="98"/>
      <c r="BE187" s="98"/>
      <c r="BF187" s="98"/>
      <c r="BG187" s="98"/>
      <c r="BH187" s="98"/>
      <c r="BI187" s="98"/>
      <c r="BJ187" s="98"/>
      <c r="BK187" s="98"/>
      <c r="BL187" s="98"/>
      <c r="BM187" s="98"/>
      <c r="BN187" s="98"/>
      <c r="BO187" s="98"/>
      <c r="BP187" s="98"/>
      <c r="BQ187" s="98"/>
      <c r="BR187" s="98"/>
      <c r="BS187" s="98"/>
      <c r="BT187" s="98"/>
      <c r="BU187" s="98"/>
      <c r="BV187" s="98"/>
      <c r="BW187" s="98"/>
      <c r="BX187" s="98"/>
      <c r="BY187" s="98"/>
      <c r="BZ187" s="98"/>
      <c r="CA187" s="98"/>
      <c r="CB187" s="98"/>
      <c r="CC187" s="98"/>
    </row>
    <row r="188" ht="15.75" customHeight="1">
      <c r="A188" s="98"/>
      <c r="B188" s="98"/>
      <c r="C188" s="98"/>
      <c r="D188" s="98"/>
      <c r="E188" s="98"/>
      <c r="F188" s="98"/>
      <c r="G188" s="98"/>
      <c r="H188" s="98"/>
      <c r="I188" s="99"/>
      <c r="J188" s="99"/>
      <c r="K188" s="99"/>
      <c r="L188" s="99"/>
      <c r="M188" s="99"/>
      <c r="N188" s="99"/>
      <c r="O188" s="99"/>
      <c r="P188" s="162"/>
      <c r="Q188" s="163"/>
      <c r="R188" s="163"/>
      <c r="S188" s="163"/>
      <c r="T188" s="164"/>
      <c r="U188" s="163"/>
      <c r="V188" s="163"/>
      <c r="W188" s="164"/>
      <c r="X188" s="98"/>
      <c r="Y188" s="98"/>
      <c r="Z188" s="98"/>
      <c r="AA188" s="98"/>
      <c r="AB188" s="98"/>
      <c r="AC188" s="98"/>
      <c r="AD188" s="98"/>
      <c r="AE188" s="98"/>
      <c r="AF188" s="98"/>
      <c r="AG188" s="98"/>
      <c r="AH188" s="98"/>
      <c r="AI188" s="98"/>
      <c r="AJ188" s="98"/>
      <c r="AK188" s="98"/>
      <c r="AL188" s="98"/>
      <c r="AM188" s="98"/>
      <c r="AN188" s="98"/>
      <c r="AO188" s="98"/>
      <c r="AP188" s="98"/>
      <c r="AQ188" s="98"/>
      <c r="AR188" s="98"/>
      <c r="AS188" s="98"/>
      <c r="AT188" s="98"/>
      <c r="AU188" s="98"/>
      <c r="AV188" s="98"/>
      <c r="AW188" s="98"/>
      <c r="AX188" s="98"/>
      <c r="AY188" s="98"/>
      <c r="AZ188" s="98"/>
      <c r="BA188" s="98"/>
      <c r="BB188" s="98"/>
      <c r="BC188" s="98"/>
      <c r="BD188" s="98"/>
      <c r="BE188" s="98"/>
      <c r="BF188" s="98"/>
      <c r="BG188" s="98"/>
      <c r="BH188" s="98"/>
      <c r="BI188" s="98"/>
      <c r="BJ188" s="98"/>
      <c r="BK188" s="98"/>
      <c r="BL188" s="98"/>
      <c r="BM188" s="98"/>
      <c r="BN188" s="98"/>
      <c r="BO188" s="98"/>
      <c r="BP188" s="98"/>
      <c r="BQ188" s="98"/>
      <c r="BR188" s="98"/>
      <c r="BS188" s="98"/>
      <c r="BT188" s="98"/>
      <c r="BU188" s="98"/>
      <c r="BV188" s="98"/>
      <c r="BW188" s="98"/>
      <c r="BX188" s="98"/>
      <c r="BY188" s="98"/>
      <c r="BZ188" s="98"/>
      <c r="CA188" s="98"/>
      <c r="CB188" s="98"/>
      <c r="CC188" s="98"/>
    </row>
    <row r="189" ht="15.75" customHeight="1">
      <c r="A189" s="98"/>
      <c r="B189" s="98"/>
      <c r="C189" s="98"/>
      <c r="D189" s="98"/>
      <c r="E189" s="98"/>
      <c r="F189" s="98"/>
      <c r="G189" s="98"/>
      <c r="H189" s="98"/>
      <c r="I189" s="99"/>
      <c r="J189" s="99"/>
      <c r="K189" s="99"/>
      <c r="L189" s="99"/>
      <c r="M189" s="99"/>
      <c r="N189" s="99"/>
      <c r="O189" s="99"/>
      <c r="P189" s="162"/>
      <c r="Q189" s="163"/>
      <c r="R189" s="163"/>
      <c r="S189" s="163"/>
      <c r="T189" s="164"/>
      <c r="U189" s="163"/>
      <c r="V189" s="163"/>
      <c r="W189" s="164"/>
      <c r="X189" s="98"/>
      <c r="Y189" s="98"/>
      <c r="Z189" s="98"/>
      <c r="AA189" s="98"/>
      <c r="AB189" s="98"/>
      <c r="AC189" s="98"/>
      <c r="AD189" s="98"/>
      <c r="AE189" s="98"/>
      <c r="AF189" s="98"/>
      <c r="AG189" s="98"/>
      <c r="AH189" s="98"/>
      <c r="AI189" s="98"/>
      <c r="AJ189" s="98"/>
      <c r="AK189" s="98"/>
      <c r="AL189" s="98"/>
      <c r="AM189" s="98"/>
      <c r="AN189" s="98"/>
      <c r="AO189" s="98"/>
      <c r="AP189" s="98"/>
      <c r="AQ189" s="98"/>
      <c r="AR189" s="98"/>
      <c r="AS189" s="98"/>
      <c r="AT189" s="98"/>
      <c r="AU189" s="98"/>
      <c r="AV189" s="98"/>
      <c r="AW189" s="98"/>
      <c r="AX189" s="98"/>
      <c r="AY189" s="98"/>
      <c r="AZ189" s="98"/>
      <c r="BA189" s="98"/>
      <c r="BB189" s="98"/>
      <c r="BC189" s="98"/>
      <c r="BD189" s="98"/>
      <c r="BE189" s="98"/>
      <c r="BF189" s="98"/>
      <c r="BG189" s="98"/>
      <c r="BH189" s="98"/>
      <c r="BI189" s="98"/>
      <c r="BJ189" s="98"/>
      <c r="BK189" s="98"/>
      <c r="BL189" s="98"/>
      <c r="BM189" s="98"/>
      <c r="BN189" s="98"/>
      <c r="BO189" s="98"/>
      <c r="BP189" s="98"/>
      <c r="BQ189" s="98"/>
      <c r="BR189" s="98"/>
      <c r="BS189" s="98"/>
      <c r="BT189" s="98"/>
      <c r="BU189" s="98"/>
      <c r="BV189" s="98"/>
      <c r="BW189" s="98"/>
      <c r="BX189" s="98"/>
      <c r="BY189" s="98"/>
      <c r="BZ189" s="98"/>
      <c r="CA189" s="98"/>
      <c r="CB189" s="98"/>
      <c r="CC189" s="98"/>
    </row>
    <row r="190" ht="15.75" customHeight="1">
      <c r="A190" s="98"/>
      <c r="B190" s="98"/>
      <c r="C190" s="98"/>
      <c r="D190" s="98"/>
      <c r="E190" s="98"/>
      <c r="F190" s="98"/>
      <c r="G190" s="98"/>
      <c r="H190" s="98"/>
      <c r="I190" s="99"/>
      <c r="J190" s="99"/>
      <c r="K190" s="99"/>
      <c r="L190" s="99"/>
      <c r="M190" s="99"/>
      <c r="N190" s="99"/>
      <c r="O190" s="99"/>
      <c r="P190" s="162"/>
      <c r="Q190" s="163"/>
      <c r="R190" s="163"/>
      <c r="S190" s="163"/>
      <c r="T190" s="164"/>
      <c r="U190" s="163"/>
      <c r="V190" s="163"/>
      <c r="W190" s="164"/>
      <c r="X190" s="98"/>
      <c r="Y190" s="98"/>
      <c r="Z190" s="98"/>
      <c r="AA190" s="98"/>
      <c r="AB190" s="98"/>
      <c r="AC190" s="98"/>
      <c r="AD190" s="98"/>
      <c r="AE190" s="98"/>
      <c r="AF190" s="98"/>
      <c r="AG190" s="98"/>
      <c r="AH190" s="98"/>
      <c r="AI190" s="98"/>
      <c r="AJ190" s="98"/>
      <c r="AK190" s="98"/>
      <c r="AL190" s="98"/>
      <c r="AM190" s="98"/>
      <c r="AN190" s="98"/>
      <c r="AO190" s="98"/>
      <c r="AP190" s="98"/>
      <c r="AQ190" s="98"/>
      <c r="AR190" s="98"/>
      <c r="AS190" s="98"/>
      <c r="AT190" s="98"/>
      <c r="AU190" s="98"/>
      <c r="AV190" s="98"/>
      <c r="AW190" s="98"/>
      <c r="AX190" s="98"/>
      <c r="AY190" s="98"/>
      <c r="AZ190" s="98"/>
      <c r="BA190" s="98"/>
      <c r="BB190" s="98"/>
      <c r="BC190" s="98"/>
      <c r="BD190" s="98"/>
      <c r="BE190" s="98"/>
      <c r="BF190" s="98"/>
      <c r="BG190" s="98"/>
      <c r="BH190" s="98"/>
      <c r="BI190" s="98"/>
      <c r="BJ190" s="98"/>
      <c r="BK190" s="98"/>
      <c r="BL190" s="98"/>
      <c r="BM190" s="98"/>
      <c r="BN190" s="98"/>
      <c r="BO190" s="98"/>
      <c r="BP190" s="98"/>
      <c r="BQ190" s="98"/>
      <c r="BR190" s="98"/>
      <c r="BS190" s="98"/>
      <c r="BT190" s="98"/>
      <c r="BU190" s="98"/>
      <c r="BV190" s="98"/>
      <c r="BW190" s="98"/>
      <c r="BX190" s="98"/>
      <c r="BY190" s="98"/>
      <c r="BZ190" s="98"/>
      <c r="CA190" s="98"/>
      <c r="CB190" s="98"/>
      <c r="CC190" s="98"/>
    </row>
    <row r="191" ht="15.75" customHeight="1">
      <c r="A191" s="98"/>
      <c r="B191" s="98"/>
      <c r="C191" s="98"/>
      <c r="D191" s="98"/>
      <c r="E191" s="98"/>
      <c r="F191" s="98"/>
      <c r="G191" s="98"/>
      <c r="H191" s="98"/>
      <c r="I191" s="99"/>
      <c r="J191" s="99"/>
      <c r="K191" s="99"/>
      <c r="L191" s="99"/>
      <c r="M191" s="99"/>
      <c r="N191" s="99"/>
      <c r="O191" s="99"/>
      <c r="P191" s="162"/>
      <c r="Q191" s="163"/>
      <c r="R191" s="163"/>
      <c r="S191" s="163"/>
      <c r="T191" s="164"/>
      <c r="U191" s="163"/>
      <c r="V191" s="163"/>
      <c r="W191" s="164"/>
      <c r="X191" s="98"/>
      <c r="Y191" s="98"/>
      <c r="Z191" s="98"/>
      <c r="AA191" s="98"/>
      <c r="AB191" s="98"/>
      <c r="AC191" s="98"/>
      <c r="AD191" s="98"/>
      <c r="AE191" s="98"/>
      <c r="AF191" s="98"/>
      <c r="AG191" s="98"/>
      <c r="AH191" s="98"/>
      <c r="AI191" s="98"/>
      <c r="AJ191" s="98"/>
      <c r="AK191" s="98"/>
      <c r="AL191" s="98"/>
      <c r="AM191" s="98"/>
      <c r="AN191" s="98"/>
      <c r="AO191" s="98"/>
      <c r="AP191" s="98"/>
      <c r="AQ191" s="98"/>
      <c r="AR191" s="98"/>
      <c r="AS191" s="98"/>
      <c r="AT191" s="98"/>
      <c r="AU191" s="98"/>
      <c r="AV191" s="98"/>
      <c r="AW191" s="98"/>
      <c r="AX191" s="98"/>
      <c r="AY191" s="98"/>
      <c r="AZ191" s="98"/>
      <c r="BA191" s="98"/>
      <c r="BB191" s="98"/>
      <c r="BC191" s="98"/>
      <c r="BD191" s="98"/>
      <c r="BE191" s="98"/>
      <c r="BF191" s="98"/>
      <c r="BG191" s="98"/>
      <c r="BH191" s="98"/>
      <c r="BI191" s="98"/>
      <c r="BJ191" s="98"/>
      <c r="BK191" s="98"/>
      <c r="BL191" s="98"/>
      <c r="BM191" s="98"/>
      <c r="BN191" s="98"/>
      <c r="BO191" s="98"/>
      <c r="BP191" s="98"/>
      <c r="BQ191" s="98"/>
      <c r="BR191" s="98"/>
      <c r="BS191" s="98"/>
      <c r="BT191" s="98"/>
      <c r="BU191" s="98"/>
      <c r="BV191" s="98"/>
      <c r="BW191" s="98"/>
      <c r="BX191" s="98"/>
      <c r="BY191" s="98"/>
      <c r="BZ191" s="98"/>
      <c r="CA191" s="98"/>
      <c r="CB191" s="98"/>
      <c r="CC191" s="98"/>
    </row>
    <row r="192" ht="15.75" customHeight="1">
      <c r="A192" s="98"/>
      <c r="B192" s="98"/>
      <c r="C192" s="98"/>
      <c r="D192" s="98"/>
      <c r="E192" s="98"/>
      <c r="F192" s="98"/>
      <c r="G192" s="98"/>
      <c r="H192" s="98"/>
      <c r="I192" s="99"/>
      <c r="J192" s="99"/>
      <c r="K192" s="99"/>
      <c r="L192" s="99"/>
      <c r="M192" s="99"/>
      <c r="N192" s="99"/>
      <c r="O192" s="99"/>
      <c r="P192" s="162"/>
      <c r="Q192" s="163"/>
      <c r="R192" s="163"/>
      <c r="S192" s="163"/>
      <c r="T192" s="164"/>
      <c r="U192" s="163"/>
      <c r="V192" s="163"/>
      <c r="W192" s="164"/>
      <c r="X192" s="98"/>
      <c r="Y192" s="98"/>
      <c r="Z192" s="98"/>
      <c r="AA192" s="98"/>
      <c r="AB192" s="98"/>
      <c r="AC192" s="98"/>
      <c r="AD192" s="98"/>
      <c r="AE192" s="98"/>
      <c r="AF192" s="98"/>
      <c r="AG192" s="98"/>
      <c r="AH192" s="98"/>
      <c r="AI192" s="98"/>
      <c r="AJ192" s="98"/>
      <c r="AK192" s="98"/>
      <c r="AL192" s="98"/>
      <c r="AM192" s="98"/>
      <c r="AN192" s="98"/>
      <c r="AO192" s="98"/>
      <c r="AP192" s="98"/>
      <c r="AQ192" s="98"/>
      <c r="AR192" s="98"/>
      <c r="AS192" s="98"/>
      <c r="AT192" s="98"/>
      <c r="AU192" s="98"/>
      <c r="AV192" s="98"/>
      <c r="AW192" s="98"/>
      <c r="AX192" s="98"/>
      <c r="AY192" s="98"/>
      <c r="AZ192" s="98"/>
      <c r="BA192" s="98"/>
      <c r="BB192" s="98"/>
      <c r="BC192" s="98"/>
      <c r="BD192" s="98"/>
      <c r="BE192" s="98"/>
      <c r="BF192" s="98"/>
      <c r="BG192" s="98"/>
      <c r="BH192" s="98"/>
      <c r="BI192" s="98"/>
      <c r="BJ192" s="98"/>
      <c r="BK192" s="98"/>
      <c r="BL192" s="98"/>
      <c r="BM192" s="98"/>
      <c r="BN192" s="98"/>
      <c r="BO192" s="98"/>
      <c r="BP192" s="98"/>
      <c r="BQ192" s="98"/>
      <c r="BR192" s="98"/>
      <c r="BS192" s="98"/>
      <c r="BT192" s="98"/>
      <c r="BU192" s="98"/>
      <c r="BV192" s="98"/>
      <c r="BW192" s="98"/>
      <c r="BX192" s="98"/>
      <c r="BY192" s="98"/>
      <c r="BZ192" s="98"/>
      <c r="CA192" s="98"/>
      <c r="CB192" s="98"/>
      <c r="CC192" s="98"/>
    </row>
    <row r="193" ht="15.75" customHeight="1">
      <c r="A193" s="98"/>
      <c r="B193" s="98"/>
      <c r="C193" s="98"/>
      <c r="D193" s="98"/>
      <c r="E193" s="98"/>
      <c r="F193" s="98"/>
      <c r="G193" s="98"/>
      <c r="H193" s="98"/>
      <c r="I193" s="99"/>
      <c r="J193" s="99"/>
      <c r="K193" s="99"/>
      <c r="L193" s="99"/>
      <c r="M193" s="99"/>
      <c r="N193" s="99"/>
      <c r="O193" s="99"/>
      <c r="P193" s="162"/>
      <c r="Q193" s="163"/>
      <c r="R193" s="163"/>
      <c r="S193" s="163"/>
      <c r="T193" s="164"/>
      <c r="U193" s="163"/>
      <c r="V193" s="163"/>
      <c r="W193" s="164"/>
      <c r="X193" s="98"/>
      <c r="Y193" s="98"/>
      <c r="Z193" s="98"/>
      <c r="AA193" s="98"/>
      <c r="AB193" s="98"/>
      <c r="AC193" s="98"/>
      <c r="AD193" s="98"/>
      <c r="AE193" s="98"/>
      <c r="AF193" s="98"/>
      <c r="AG193" s="98"/>
      <c r="AH193" s="98"/>
      <c r="AI193" s="98"/>
      <c r="AJ193" s="98"/>
      <c r="AK193" s="98"/>
      <c r="AL193" s="98"/>
      <c r="AM193" s="98"/>
      <c r="AN193" s="98"/>
      <c r="AO193" s="98"/>
      <c r="AP193" s="98"/>
      <c r="AQ193" s="98"/>
      <c r="AR193" s="98"/>
      <c r="AS193" s="98"/>
      <c r="AT193" s="98"/>
      <c r="AU193" s="98"/>
      <c r="AV193" s="98"/>
      <c r="AW193" s="98"/>
      <c r="AX193" s="98"/>
      <c r="AY193" s="98"/>
      <c r="AZ193" s="98"/>
      <c r="BA193" s="98"/>
      <c r="BB193" s="98"/>
      <c r="BC193" s="98"/>
      <c r="BD193" s="98"/>
      <c r="BE193" s="98"/>
      <c r="BF193" s="98"/>
      <c r="BG193" s="98"/>
      <c r="BH193" s="98"/>
      <c r="BI193" s="98"/>
      <c r="BJ193" s="98"/>
      <c r="BK193" s="98"/>
      <c r="BL193" s="98"/>
      <c r="BM193" s="98"/>
      <c r="BN193" s="98"/>
      <c r="BO193" s="98"/>
      <c r="BP193" s="98"/>
      <c r="BQ193" s="98"/>
      <c r="BR193" s="98"/>
      <c r="BS193" s="98"/>
      <c r="BT193" s="98"/>
      <c r="BU193" s="98"/>
      <c r="BV193" s="98"/>
      <c r="BW193" s="98"/>
      <c r="BX193" s="98"/>
      <c r="BY193" s="98"/>
      <c r="BZ193" s="98"/>
      <c r="CA193" s="98"/>
      <c r="CB193" s="98"/>
      <c r="CC193" s="98"/>
    </row>
    <row r="194" ht="15.75" customHeight="1">
      <c r="A194" s="98"/>
      <c r="B194" s="98"/>
      <c r="C194" s="98"/>
      <c r="D194" s="98"/>
      <c r="E194" s="98"/>
      <c r="F194" s="98"/>
      <c r="G194" s="98"/>
      <c r="H194" s="98"/>
      <c r="I194" s="99"/>
      <c r="J194" s="99"/>
      <c r="K194" s="99"/>
      <c r="L194" s="99"/>
      <c r="M194" s="99"/>
      <c r="N194" s="99"/>
      <c r="O194" s="99"/>
      <c r="P194" s="162"/>
      <c r="Q194" s="163"/>
      <c r="R194" s="163"/>
      <c r="S194" s="163"/>
      <c r="T194" s="164"/>
      <c r="U194" s="163"/>
      <c r="V194" s="163"/>
      <c r="W194" s="164"/>
      <c r="X194" s="98"/>
      <c r="Y194" s="98"/>
      <c r="Z194" s="98"/>
      <c r="AA194" s="98"/>
      <c r="AB194" s="98"/>
      <c r="AC194" s="98"/>
      <c r="AD194" s="98"/>
      <c r="AE194" s="98"/>
      <c r="AF194" s="98"/>
      <c r="AG194" s="98"/>
      <c r="AH194" s="98"/>
      <c r="AI194" s="98"/>
      <c r="AJ194" s="98"/>
      <c r="AK194" s="98"/>
      <c r="AL194" s="98"/>
      <c r="AM194" s="98"/>
      <c r="AN194" s="98"/>
      <c r="AO194" s="98"/>
      <c r="AP194" s="98"/>
      <c r="AQ194" s="98"/>
      <c r="AR194" s="98"/>
      <c r="AS194" s="98"/>
      <c r="AT194" s="98"/>
      <c r="AU194" s="98"/>
      <c r="AV194" s="98"/>
      <c r="AW194" s="98"/>
      <c r="AX194" s="98"/>
      <c r="AY194" s="98"/>
      <c r="AZ194" s="98"/>
      <c r="BA194" s="98"/>
      <c r="BB194" s="98"/>
      <c r="BC194" s="98"/>
      <c r="BD194" s="98"/>
      <c r="BE194" s="98"/>
      <c r="BF194" s="98"/>
      <c r="BG194" s="98"/>
      <c r="BH194" s="98"/>
      <c r="BI194" s="98"/>
      <c r="BJ194" s="98"/>
      <c r="BK194" s="98"/>
      <c r="BL194" s="98"/>
      <c r="BM194" s="98"/>
      <c r="BN194" s="98"/>
      <c r="BO194" s="98"/>
      <c r="BP194" s="98"/>
      <c r="BQ194" s="98"/>
      <c r="BR194" s="98"/>
      <c r="BS194" s="98"/>
      <c r="BT194" s="98"/>
      <c r="BU194" s="98"/>
      <c r="BV194" s="98"/>
      <c r="BW194" s="98"/>
      <c r="BX194" s="98"/>
      <c r="BY194" s="98"/>
      <c r="BZ194" s="98"/>
      <c r="CA194" s="98"/>
      <c r="CB194" s="98"/>
      <c r="CC194" s="98"/>
    </row>
    <row r="195" ht="15.75" customHeight="1">
      <c r="A195" s="98"/>
      <c r="B195" s="98"/>
      <c r="C195" s="98"/>
      <c r="D195" s="98"/>
      <c r="E195" s="98"/>
      <c r="F195" s="98"/>
      <c r="G195" s="98"/>
      <c r="H195" s="98"/>
      <c r="I195" s="99"/>
      <c r="J195" s="99"/>
      <c r="K195" s="99"/>
      <c r="L195" s="99"/>
      <c r="M195" s="99"/>
      <c r="N195" s="99"/>
      <c r="O195" s="99"/>
      <c r="P195" s="162"/>
      <c r="Q195" s="163"/>
      <c r="R195" s="163"/>
      <c r="S195" s="163"/>
      <c r="T195" s="164"/>
      <c r="U195" s="163"/>
      <c r="V195" s="163"/>
      <c r="W195" s="164"/>
      <c r="X195" s="98"/>
      <c r="Y195" s="98"/>
      <c r="Z195" s="98"/>
      <c r="AA195" s="98"/>
      <c r="AB195" s="98"/>
      <c r="AC195" s="98"/>
      <c r="AD195" s="98"/>
      <c r="AE195" s="98"/>
      <c r="AF195" s="98"/>
      <c r="AG195" s="98"/>
      <c r="AH195" s="98"/>
      <c r="AI195" s="98"/>
      <c r="AJ195" s="98"/>
      <c r="AK195" s="98"/>
      <c r="AL195" s="98"/>
      <c r="AM195" s="98"/>
      <c r="AN195" s="98"/>
      <c r="AO195" s="98"/>
      <c r="AP195" s="98"/>
      <c r="AQ195" s="98"/>
      <c r="AR195" s="98"/>
      <c r="AS195" s="98"/>
      <c r="AT195" s="98"/>
      <c r="AU195" s="98"/>
      <c r="AV195" s="98"/>
      <c r="AW195" s="98"/>
      <c r="AX195" s="98"/>
      <c r="AY195" s="98"/>
      <c r="AZ195" s="98"/>
      <c r="BA195" s="98"/>
      <c r="BB195" s="98"/>
      <c r="BC195" s="98"/>
      <c r="BD195" s="98"/>
      <c r="BE195" s="98"/>
      <c r="BF195" s="98"/>
      <c r="BG195" s="98"/>
      <c r="BH195" s="98"/>
      <c r="BI195" s="98"/>
      <c r="BJ195" s="98"/>
      <c r="BK195" s="98"/>
      <c r="BL195" s="98"/>
      <c r="BM195" s="98"/>
      <c r="BN195" s="98"/>
      <c r="BO195" s="98"/>
      <c r="BP195" s="98"/>
      <c r="BQ195" s="98"/>
      <c r="BR195" s="98"/>
      <c r="BS195" s="98"/>
      <c r="BT195" s="98"/>
      <c r="BU195" s="98"/>
      <c r="BV195" s="98"/>
      <c r="BW195" s="98"/>
      <c r="BX195" s="98"/>
      <c r="BY195" s="98"/>
      <c r="BZ195" s="98"/>
      <c r="CA195" s="98"/>
      <c r="CB195" s="98"/>
      <c r="CC195" s="98"/>
    </row>
    <row r="196" ht="15.75" customHeight="1">
      <c r="A196" s="98"/>
      <c r="B196" s="98"/>
      <c r="C196" s="98"/>
      <c r="D196" s="98"/>
      <c r="E196" s="98"/>
      <c r="F196" s="98"/>
      <c r="G196" s="98"/>
      <c r="H196" s="98"/>
      <c r="I196" s="99"/>
      <c r="J196" s="99"/>
      <c r="K196" s="99"/>
      <c r="L196" s="99"/>
      <c r="M196" s="99"/>
      <c r="N196" s="99"/>
      <c r="O196" s="99"/>
      <c r="P196" s="162"/>
      <c r="Q196" s="163"/>
      <c r="R196" s="163"/>
      <c r="S196" s="163"/>
      <c r="T196" s="164"/>
      <c r="U196" s="163"/>
      <c r="V196" s="163"/>
      <c r="W196" s="164"/>
      <c r="X196" s="98"/>
      <c r="Y196" s="98"/>
      <c r="Z196" s="98"/>
      <c r="AA196" s="98"/>
      <c r="AB196" s="98"/>
      <c r="AC196" s="98"/>
      <c r="AD196" s="98"/>
      <c r="AE196" s="98"/>
      <c r="AF196" s="98"/>
      <c r="AG196" s="98"/>
      <c r="AH196" s="98"/>
      <c r="AI196" s="98"/>
      <c r="AJ196" s="98"/>
      <c r="AK196" s="98"/>
      <c r="AL196" s="98"/>
      <c r="AM196" s="98"/>
      <c r="AN196" s="98"/>
      <c r="AO196" s="98"/>
      <c r="AP196" s="98"/>
      <c r="AQ196" s="98"/>
      <c r="AR196" s="98"/>
      <c r="AS196" s="98"/>
      <c r="AT196" s="98"/>
      <c r="AU196" s="98"/>
      <c r="AV196" s="98"/>
      <c r="AW196" s="98"/>
      <c r="AX196" s="98"/>
      <c r="AY196" s="98"/>
      <c r="AZ196" s="98"/>
      <c r="BA196" s="98"/>
      <c r="BB196" s="98"/>
      <c r="BC196" s="98"/>
      <c r="BD196" s="98"/>
      <c r="BE196" s="98"/>
      <c r="BF196" s="98"/>
      <c r="BG196" s="98"/>
      <c r="BH196" s="98"/>
      <c r="BI196" s="98"/>
      <c r="BJ196" s="98"/>
      <c r="BK196" s="98"/>
      <c r="BL196" s="98"/>
      <c r="BM196" s="98"/>
      <c r="BN196" s="98"/>
      <c r="BO196" s="98"/>
      <c r="BP196" s="98"/>
      <c r="BQ196" s="98"/>
      <c r="BR196" s="98"/>
      <c r="BS196" s="98"/>
      <c r="BT196" s="98"/>
      <c r="BU196" s="98"/>
      <c r="BV196" s="98"/>
      <c r="BW196" s="98"/>
      <c r="BX196" s="98"/>
      <c r="BY196" s="98"/>
      <c r="BZ196" s="98"/>
      <c r="CA196" s="98"/>
      <c r="CB196" s="98"/>
      <c r="CC196" s="98"/>
    </row>
    <row r="197" ht="15.75" customHeight="1">
      <c r="A197" s="98"/>
      <c r="B197" s="98"/>
      <c r="C197" s="98"/>
      <c r="D197" s="98"/>
      <c r="E197" s="98"/>
      <c r="F197" s="98"/>
      <c r="G197" s="98"/>
      <c r="H197" s="98"/>
      <c r="I197" s="99"/>
      <c r="J197" s="99"/>
      <c r="K197" s="99"/>
      <c r="L197" s="99"/>
      <c r="M197" s="99"/>
      <c r="N197" s="99"/>
      <c r="O197" s="99"/>
      <c r="P197" s="162"/>
      <c r="Q197" s="163"/>
      <c r="R197" s="163"/>
      <c r="S197" s="163"/>
      <c r="T197" s="164"/>
      <c r="U197" s="163"/>
      <c r="V197" s="163"/>
      <c r="W197" s="164"/>
      <c r="X197" s="98"/>
      <c r="Y197" s="98"/>
      <c r="Z197" s="98"/>
      <c r="AA197" s="98"/>
      <c r="AB197" s="98"/>
      <c r="AC197" s="98"/>
      <c r="AD197" s="98"/>
      <c r="AE197" s="98"/>
      <c r="AF197" s="98"/>
      <c r="AG197" s="98"/>
      <c r="AH197" s="98"/>
      <c r="AI197" s="98"/>
      <c r="AJ197" s="98"/>
      <c r="AK197" s="98"/>
      <c r="AL197" s="98"/>
      <c r="AM197" s="98"/>
      <c r="AN197" s="98"/>
      <c r="AO197" s="98"/>
      <c r="AP197" s="98"/>
      <c r="AQ197" s="98"/>
      <c r="AR197" s="98"/>
      <c r="AS197" s="98"/>
      <c r="AT197" s="98"/>
      <c r="AU197" s="98"/>
      <c r="AV197" s="98"/>
      <c r="AW197" s="98"/>
      <c r="AX197" s="98"/>
      <c r="AY197" s="98"/>
      <c r="AZ197" s="98"/>
      <c r="BA197" s="98"/>
      <c r="BB197" s="98"/>
      <c r="BC197" s="98"/>
      <c r="BD197" s="98"/>
      <c r="BE197" s="98"/>
      <c r="BF197" s="98"/>
      <c r="BG197" s="98"/>
      <c r="BH197" s="98"/>
      <c r="BI197" s="98"/>
      <c r="BJ197" s="98"/>
      <c r="BK197" s="98"/>
      <c r="BL197" s="98"/>
      <c r="BM197" s="98"/>
      <c r="BN197" s="98"/>
      <c r="BO197" s="98"/>
      <c r="BP197" s="98"/>
      <c r="BQ197" s="98"/>
      <c r="BR197" s="98"/>
      <c r="BS197" s="98"/>
      <c r="BT197" s="98"/>
      <c r="BU197" s="98"/>
      <c r="BV197" s="98"/>
      <c r="BW197" s="98"/>
      <c r="BX197" s="98"/>
      <c r="BY197" s="98"/>
      <c r="BZ197" s="98"/>
      <c r="CA197" s="98"/>
      <c r="CB197" s="98"/>
      <c r="CC197" s="98"/>
    </row>
    <row r="198" ht="15.75" customHeight="1">
      <c r="A198" s="98"/>
      <c r="B198" s="98"/>
      <c r="C198" s="98"/>
      <c r="D198" s="98"/>
      <c r="E198" s="98"/>
      <c r="F198" s="98"/>
      <c r="G198" s="98"/>
      <c r="H198" s="98"/>
      <c r="I198" s="99"/>
      <c r="J198" s="99"/>
      <c r="K198" s="99"/>
      <c r="L198" s="99"/>
      <c r="M198" s="99"/>
      <c r="N198" s="99"/>
      <c r="O198" s="99"/>
      <c r="P198" s="162"/>
      <c r="Q198" s="163"/>
      <c r="R198" s="163"/>
      <c r="S198" s="163"/>
      <c r="T198" s="164"/>
      <c r="U198" s="163"/>
      <c r="V198" s="163"/>
      <c r="W198" s="164"/>
      <c r="X198" s="98"/>
      <c r="Y198" s="98"/>
      <c r="Z198" s="98"/>
      <c r="AA198" s="98"/>
      <c r="AB198" s="98"/>
      <c r="AC198" s="98"/>
      <c r="AD198" s="98"/>
      <c r="AE198" s="98"/>
      <c r="AF198" s="98"/>
      <c r="AG198" s="98"/>
      <c r="AH198" s="98"/>
      <c r="AI198" s="98"/>
      <c r="AJ198" s="98"/>
      <c r="AK198" s="98"/>
      <c r="AL198" s="98"/>
      <c r="AM198" s="98"/>
      <c r="AN198" s="98"/>
      <c r="AO198" s="98"/>
      <c r="AP198" s="98"/>
      <c r="AQ198" s="98"/>
      <c r="AR198" s="98"/>
      <c r="AS198" s="98"/>
      <c r="AT198" s="98"/>
      <c r="AU198" s="98"/>
      <c r="AV198" s="98"/>
      <c r="AW198" s="98"/>
      <c r="AX198" s="98"/>
      <c r="AY198" s="98"/>
      <c r="AZ198" s="98"/>
      <c r="BA198" s="98"/>
      <c r="BB198" s="98"/>
      <c r="BC198" s="98"/>
      <c r="BD198" s="98"/>
      <c r="BE198" s="98"/>
      <c r="BF198" s="98"/>
      <c r="BG198" s="98"/>
      <c r="BH198" s="98"/>
      <c r="BI198" s="98"/>
      <c r="BJ198" s="98"/>
      <c r="BK198" s="98"/>
      <c r="BL198" s="98"/>
      <c r="BM198" s="98"/>
      <c r="BN198" s="98"/>
      <c r="BO198" s="98"/>
      <c r="BP198" s="98"/>
      <c r="BQ198" s="98"/>
      <c r="BR198" s="98"/>
      <c r="BS198" s="98"/>
      <c r="BT198" s="98"/>
      <c r="BU198" s="98"/>
      <c r="BV198" s="98"/>
      <c r="BW198" s="98"/>
      <c r="BX198" s="98"/>
      <c r="BY198" s="98"/>
      <c r="BZ198" s="98"/>
      <c r="CA198" s="98"/>
      <c r="CB198" s="98"/>
      <c r="CC198" s="98"/>
    </row>
    <row r="199" ht="15.75" customHeight="1">
      <c r="A199" s="98"/>
      <c r="B199" s="98"/>
      <c r="C199" s="98"/>
      <c r="D199" s="98"/>
      <c r="E199" s="98"/>
      <c r="F199" s="98"/>
      <c r="G199" s="98"/>
      <c r="H199" s="98"/>
      <c r="I199" s="99"/>
      <c r="J199" s="99"/>
      <c r="K199" s="99"/>
      <c r="L199" s="99"/>
      <c r="M199" s="99"/>
      <c r="N199" s="99"/>
      <c r="O199" s="99"/>
      <c r="P199" s="162"/>
      <c r="Q199" s="163"/>
      <c r="R199" s="163"/>
      <c r="S199" s="163"/>
      <c r="T199" s="164"/>
      <c r="U199" s="163"/>
      <c r="V199" s="163"/>
      <c r="W199" s="164"/>
      <c r="X199" s="98"/>
      <c r="Y199" s="98"/>
      <c r="Z199" s="98"/>
      <c r="AA199" s="98"/>
      <c r="AB199" s="98"/>
      <c r="AC199" s="98"/>
      <c r="AD199" s="98"/>
      <c r="AE199" s="98"/>
      <c r="AF199" s="98"/>
      <c r="AG199" s="98"/>
      <c r="AH199" s="98"/>
      <c r="AI199" s="98"/>
      <c r="AJ199" s="98"/>
      <c r="AK199" s="98"/>
      <c r="AL199" s="98"/>
      <c r="AM199" s="98"/>
      <c r="AN199" s="98"/>
      <c r="AO199" s="98"/>
      <c r="AP199" s="98"/>
      <c r="AQ199" s="98"/>
      <c r="AR199" s="98"/>
      <c r="AS199" s="98"/>
      <c r="AT199" s="98"/>
      <c r="AU199" s="98"/>
      <c r="AV199" s="98"/>
      <c r="AW199" s="98"/>
      <c r="AX199" s="98"/>
      <c r="AY199" s="98"/>
      <c r="AZ199" s="98"/>
      <c r="BA199" s="98"/>
      <c r="BB199" s="98"/>
      <c r="BC199" s="98"/>
      <c r="BD199" s="98"/>
      <c r="BE199" s="98"/>
      <c r="BF199" s="98"/>
      <c r="BG199" s="98"/>
      <c r="BH199" s="98"/>
      <c r="BI199" s="98"/>
      <c r="BJ199" s="98"/>
      <c r="BK199" s="98"/>
      <c r="BL199" s="98"/>
      <c r="BM199" s="98"/>
      <c r="BN199" s="98"/>
      <c r="BO199" s="98"/>
      <c r="BP199" s="98"/>
      <c r="BQ199" s="98"/>
      <c r="BR199" s="98"/>
      <c r="BS199" s="98"/>
      <c r="BT199" s="98"/>
      <c r="BU199" s="98"/>
      <c r="BV199" s="98"/>
      <c r="BW199" s="98"/>
      <c r="BX199" s="98"/>
      <c r="BY199" s="98"/>
      <c r="BZ199" s="98"/>
      <c r="CA199" s="98"/>
      <c r="CB199" s="98"/>
      <c r="CC199" s="98"/>
    </row>
    <row r="200" ht="15.75" customHeight="1">
      <c r="A200" s="98"/>
      <c r="B200" s="98"/>
      <c r="C200" s="98"/>
      <c r="D200" s="98"/>
      <c r="E200" s="98"/>
      <c r="F200" s="98"/>
      <c r="G200" s="98"/>
      <c r="H200" s="98"/>
      <c r="I200" s="99"/>
      <c r="J200" s="99"/>
      <c r="K200" s="99"/>
      <c r="L200" s="99"/>
      <c r="M200" s="99"/>
      <c r="N200" s="99"/>
      <c r="O200" s="99"/>
      <c r="P200" s="162"/>
      <c r="Q200" s="163"/>
      <c r="R200" s="163"/>
      <c r="S200" s="163"/>
      <c r="T200" s="164"/>
      <c r="U200" s="163"/>
      <c r="V200" s="163"/>
      <c r="W200" s="164"/>
      <c r="X200" s="98"/>
      <c r="Y200" s="98"/>
      <c r="Z200" s="98"/>
      <c r="AA200" s="98"/>
      <c r="AB200" s="98"/>
      <c r="AC200" s="98"/>
      <c r="AD200" s="98"/>
      <c r="AE200" s="98"/>
      <c r="AF200" s="98"/>
      <c r="AG200" s="98"/>
      <c r="AH200" s="98"/>
      <c r="AI200" s="98"/>
      <c r="AJ200" s="98"/>
      <c r="AK200" s="98"/>
      <c r="AL200" s="98"/>
      <c r="AM200" s="98"/>
      <c r="AN200" s="98"/>
      <c r="AO200" s="98"/>
      <c r="AP200" s="98"/>
      <c r="AQ200" s="98"/>
      <c r="AR200" s="98"/>
      <c r="AS200" s="98"/>
      <c r="AT200" s="98"/>
      <c r="AU200" s="98"/>
      <c r="AV200" s="98"/>
      <c r="AW200" s="98"/>
      <c r="AX200" s="98"/>
      <c r="AY200" s="98"/>
      <c r="AZ200" s="98"/>
      <c r="BA200" s="98"/>
      <c r="BB200" s="98"/>
      <c r="BC200" s="98"/>
      <c r="BD200" s="98"/>
      <c r="BE200" s="98"/>
      <c r="BF200" s="98"/>
      <c r="BG200" s="98"/>
      <c r="BH200" s="98"/>
      <c r="BI200" s="98"/>
      <c r="BJ200" s="98"/>
      <c r="BK200" s="98"/>
      <c r="BL200" s="98"/>
      <c r="BM200" s="98"/>
      <c r="BN200" s="98"/>
      <c r="BO200" s="98"/>
      <c r="BP200" s="98"/>
      <c r="BQ200" s="98"/>
      <c r="BR200" s="98"/>
      <c r="BS200" s="98"/>
      <c r="BT200" s="98"/>
      <c r="BU200" s="98"/>
      <c r="BV200" s="98"/>
      <c r="BW200" s="98"/>
      <c r="BX200" s="98"/>
      <c r="BY200" s="98"/>
      <c r="BZ200" s="98"/>
      <c r="CA200" s="98"/>
      <c r="CB200" s="98"/>
      <c r="CC200" s="98"/>
    </row>
    <row r="201" ht="15.75" customHeight="1">
      <c r="A201" s="98"/>
      <c r="B201" s="98"/>
      <c r="C201" s="98"/>
      <c r="D201" s="98"/>
      <c r="E201" s="98"/>
      <c r="F201" s="98"/>
      <c r="G201" s="98"/>
      <c r="H201" s="98"/>
      <c r="I201" s="99"/>
      <c r="J201" s="99"/>
      <c r="K201" s="99"/>
      <c r="L201" s="99"/>
      <c r="M201" s="99"/>
      <c r="N201" s="99"/>
      <c r="O201" s="99"/>
      <c r="P201" s="162"/>
      <c r="Q201" s="163"/>
      <c r="R201" s="163"/>
      <c r="S201" s="163"/>
      <c r="T201" s="164"/>
      <c r="U201" s="163"/>
      <c r="V201" s="163"/>
      <c r="W201" s="164"/>
      <c r="X201" s="98"/>
      <c r="Y201" s="98"/>
      <c r="Z201" s="98"/>
      <c r="AA201" s="98"/>
      <c r="AB201" s="98"/>
      <c r="AC201" s="98"/>
      <c r="AD201" s="98"/>
      <c r="AE201" s="98"/>
      <c r="AF201" s="98"/>
      <c r="AG201" s="98"/>
      <c r="AH201" s="98"/>
      <c r="AI201" s="98"/>
      <c r="AJ201" s="98"/>
      <c r="AK201" s="98"/>
      <c r="AL201" s="98"/>
      <c r="AM201" s="98"/>
      <c r="AN201" s="98"/>
      <c r="AO201" s="98"/>
      <c r="AP201" s="98"/>
      <c r="AQ201" s="98"/>
      <c r="AR201" s="98"/>
      <c r="AS201" s="98"/>
      <c r="AT201" s="98"/>
      <c r="AU201" s="98"/>
      <c r="AV201" s="98"/>
      <c r="AW201" s="98"/>
      <c r="AX201" s="98"/>
      <c r="AY201" s="98"/>
      <c r="AZ201" s="98"/>
      <c r="BA201" s="98"/>
      <c r="BB201" s="98"/>
      <c r="BC201" s="98"/>
      <c r="BD201" s="98"/>
      <c r="BE201" s="98"/>
      <c r="BF201" s="98"/>
      <c r="BG201" s="98"/>
      <c r="BH201" s="98"/>
      <c r="BI201" s="98"/>
      <c r="BJ201" s="98"/>
      <c r="BK201" s="98"/>
      <c r="BL201" s="98"/>
      <c r="BM201" s="98"/>
      <c r="BN201" s="98"/>
      <c r="BO201" s="98"/>
      <c r="BP201" s="98"/>
      <c r="BQ201" s="98"/>
      <c r="BR201" s="98"/>
      <c r="BS201" s="98"/>
      <c r="BT201" s="98"/>
      <c r="BU201" s="98"/>
      <c r="BV201" s="98"/>
      <c r="BW201" s="98"/>
      <c r="BX201" s="98"/>
      <c r="BY201" s="98"/>
      <c r="BZ201" s="98"/>
      <c r="CA201" s="98"/>
      <c r="CB201" s="98"/>
      <c r="CC201" s="98"/>
    </row>
    <row r="202" ht="15.75" customHeight="1">
      <c r="A202" s="98"/>
      <c r="B202" s="98"/>
      <c r="C202" s="98"/>
      <c r="D202" s="98"/>
      <c r="E202" s="98"/>
      <c r="F202" s="98"/>
      <c r="G202" s="98"/>
      <c r="H202" s="98"/>
      <c r="I202" s="99"/>
      <c r="J202" s="99"/>
      <c r="K202" s="99"/>
      <c r="L202" s="99"/>
      <c r="M202" s="99"/>
      <c r="N202" s="99"/>
      <c r="O202" s="99"/>
      <c r="P202" s="162"/>
      <c r="Q202" s="163"/>
      <c r="R202" s="163"/>
      <c r="S202" s="163"/>
      <c r="T202" s="164"/>
      <c r="U202" s="163"/>
      <c r="V202" s="163"/>
      <c r="W202" s="164"/>
      <c r="X202" s="98"/>
      <c r="Y202" s="98"/>
      <c r="Z202" s="98"/>
      <c r="AA202" s="98"/>
      <c r="AB202" s="98"/>
      <c r="AC202" s="98"/>
      <c r="AD202" s="98"/>
      <c r="AE202" s="98"/>
      <c r="AF202" s="98"/>
      <c r="AG202" s="98"/>
      <c r="AH202" s="98"/>
      <c r="AI202" s="98"/>
      <c r="AJ202" s="98"/>
      <c r="AK202" s="98"/>
      <c r="AL202" s="98"/>
      <c r="AM202" s="98"/>
      <c r="AN202" s="98"/>
      <c r="AO202" s="98"/>
      <c r="AP202" s="98"/>
      <c r="AQ202" s="98"/>
      <c r="AR202" s="98"/>
      <c r="AS202" s="98"/>
      <c r="AT202" s="98"/>
      <c r="AU202" s="98"/>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c r="BT202" s="98"/>
      <c r="BU202" s="98"/>
      <c r="BV202" s="98"/>
      <c r="BW202" s="98"/>
      <c r="BX202" s="98"/>
      <c r="BY202" s="98"/>
      <c r="BZ202" s="98"/>
      <c r="CA202" s="98"/>
      <c r="CB202" s="98"/>
      <c r="CC202" s="98"/>
    </row>
    <row r="203" ht="15.75" customHeight="1">
      <c r="A203" s="98"/>
      <c r="B203" s="98"/>
      <c r="C203" s="98"/>
      <c r="D203" s="98"/>
      <c r="E203" s="98"/>
      <c r="F203" s="98"/>
      <c r="G203" s="98"/>
      <c r="H203" s="98"/>
      <c r="I203" s="99"/>
      <c r="J203" s="99"/>
      <c r="K203" s="99"/>
      <c r="L203" s="99"/>
      <c r="M203" s="99"/>
      <c r="N203" s="99"/>
      <c r="O203" s="99"/>
      <c r="P203" s="162"/>
      <c r="Q203" s="163"/>
      <c r="R203" s="163"/>
      <c r="S203" s="163"/>
      <c r="T203" s="164"/>
      <c r="U203" s="163"/>
      <c r="V203" s="163"/>
      <c r="W203" s="164"/>
      <c r="X203" s="98"/>
      <c r="Y203" s="98"/>
      <c r="Z203" s="98"/>
      <c r="AA203" s="98"/>
      <c r="AB203" s="98"/>
      <c r="AC203" s="98"/>
      <c r="AD203" s="98"/>
      <c r="AE203" s="98"/>
      <c r="AF203" s="98"/>
      <c r="AG203" s="98"/>
      <c r="AH203" s="98"/>
      <c r="AI203" s="98"/>
      <c r="AJ203" s="98"/>
      <c r="AK203" s="98"/>
      <c r="AL203" s="98"/>
      <c r="AM203" s="98"/>
      <c r="AN203" s="98"/>
      <c r="AO203" s="98"/>
      <c r="AP203" s="98"/>
      <c r="AQ203" s="98"/>
      <c r="AR203" s="98"/>
      <c r="AS203" s="98"/>
      <c r="AT203" s="98"/>
      <c r="AU203" s="98"/>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c r="BT203" s="98"/>
      <c r="BU203" s="98"/>
      <c r="BV203" s="98"/>
      <c r="BW203" s="98"/>
      <c r="BX203" s="98"/>
      <c r="BY203" s="98"/>
      <c r="BZ203" s="98"/>
      <c r="CA203" s="98"/>
      <c r="CB203" s="98"/>
      <c r="CC203" s="98"/>
    </row>
    <row r="204" ht="15.75" customHeight="1">
      <c r="A204" s="98"/>
      <c r="B204" s="98"/>
      <c r="C204" s="98"/>
      <c r="D204" s="98"/>
      <c r="E204" s="98"/>
      <c r="F204" s="98"/>
      <c r="G204" s="98"/>
      <c r="H204" s="98"/>
      <c r="I204" s="99"/>
      <c r="J204" s="99"/>
      <c r="K204" s="99"/>
      <c r="L204" s="99"/>
      <c r="M204" s="99"/>
      <c r="N204" s="99"/>
      <c r="O204" s="99"/>
      <c r="P204" s="162"/>
      <c r="Q204" s="163"/>
      <c r="R204" s="163"/>
      <c r="S204" s="163"/>
      <c r="T204" s="164"/>
      <c r="U204" s="163"/>
      <c r="V204" s="163"/>
      <c r="W204" s="164"/>
      <c r="X204" s="98"/>
      <c r="Y204" s="98"/>
      <c r="Z204" s="98"/>
      <c r="AA204" s="98"/>
      <c r="AB204" s="98"/>
      <c r="AC204" s="98"/>
      <c r="AD204" s="98"/>
      <c r="AE204" s="98"/>
      <c r="AF204" s="98"/>
      <c r="AG204" s="98"/>
      <c r="AH204" s="98"/>
      <c r="AI204" s="98"/>
      <c r="AJ204" s="98"/>
      <c r="AK204" s="98"/>
      <c r="AL204" s="98"/>
      <c r="AM204" s="98"/>
      <c r="AN204" s="98"/>
      <c r="AO204" s="98"/>
      <c r="AP204" s="98"/>
      <c r="AQ204" s="98"/>
      <c r="AR204" s="98"/>
      <c r="AS204" s="98"/>
      <c r="AT204" s="98"/>
      <c r="AU204" s="98"/>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c r="BT204" s="98"/>
      <c r="BU204" s="98"/>
      <c r="BV204" s="98"/>
      <c r="BW204" s="98"/>
      <c r="BX204" s="98"/>
      <c r="BY204" s="98"/>
      <c r="BZ204" s="98"/>
      <c r="CA204" s="98"/>
      <c r="CB204" s="98"/>
      <c r="CC204" s="98"/>
    </row>
    <row r="205" ht="15.75" customHeight="1">
      <c r="A205" s="98"/>
      <c r="B205" s="98"/>
      <c r="C205" s="98"/>
      <c r="D205" s="98"/>
      <c r="E205" s="98"/>
      <c r="F205" s="98"/>
      <c r="G205" s="98"/>
      <c r="H205" s="98"/>
      <c r="I205" s="99"/>
      <c r="J205" s="99"/>
      <c r="K205" s="99"/>
      <c r="L205" s="99"/>
      <c r="M205" s="99"/>
      <c r="N205" s="99"/>
      <c r="O205" s="99"/>
      <c r="P205" s="162"/>
      <c r="Q205" s="163"/>
      <c r="R205" s="163"/>
      <c r="S205" s="163"/>
      <c r="T205" s="164"/>
      <c r="U205" s="163"/>
      <c r="V205" s="163"/>
      <c r="W205" s="164"/>
      <c r="X205" s="98"/>
      <c r="Y205" s="98"/>
      <c r="Z205" s="98"/>
      <c r="AA205" s="98"/>
      <c r="AB205" s="98"/>
      <c r="AC205" s="98"/>
      <c r="AD205" s="98"/>
      <c r="AE205" s="98"/>
      <c r="AF205" s="98"/>
      <c r="AG205" s="98"/>
      <c r="AH205" s="98"/>
      <c r="AI205" s="98"/>
      <c r="AJ205" s="98"/>
      <c r="AK205" s="98"/>
      <c r="AL205" s="98"/>
      <c r="AM205" s="98"/>
      <c r="AN205" s="98"/>
      <c r="AO205" s="98"/>
      <c r="AP205" s="98"/>
      <c r="AQ205" s="98"/>
      <c r="AR205" s="98"/>
      <c r="AS205" s="98"/>
      <c r="AT205" s="98"/>
      <c r="AU205" s="98"/>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c r="BT205" s="98"/>
      <c r="BU205" s="98"/>
      <c r="BV205" s="98"/>
      <c r="BW205" s="98"/>
      <c r="BX205" s="98"/>
      <c r="BY205" s="98"/>
      <c r="BZ205" s="98"/>
      <c r="CA205" s="98"/>
      <c r="CB205" s="98"/>
      <c r="CC205" s="98"/>
    </row>
    <row r="206" ht="15.75" customHeight="1">
      <c r="A206" s="98"/>
      <c r="B206" s="98"/>
      <c r="C206" s="98"/>
      <c r="D206" s="98"/>
      <c r="E206" s="98"/>
      <c r="F206" s="98"/>
      <c r="G206" s="98"/>
      <c r="H206" s="98"/>
      <c r="I206" s="99"/>
      <c r="J206" s="99"/>
      <c r="K206" s="99"/>
      <c r="L206" s="99"/>
      <c r="M206" s="99"/>
      <c r="N206" s="99"/>
      <c r="O206" s="99"/>
      <c r="P206" s="162"/>
      <c r="Q206" s="163"/>
      <c r="R206" s="163"/>
      <c r="S206" s="163"/>
      <c r="T206" s="164"/>
      <c r="U206" s="163"/>
      <c r="V206" s="163"/>
      <c r="W206" s="164"/>
      <c r="X206" s="98"/>
      <c r="Y206" s="98"/>
      <c r="Z206" s="98"/>
      <c r="AA206" s="98"/>
      <c r="AB206" s="98"/>
      <c r="AC206" s="98"/>
      <c r="AD206" s="98"/>
      <c r="AE206" s="98"/>
      <c r="AF206" s="98"/>
      <c r="AG206" s="98"/>
      <c r="AH206" s="98"/>
      <c r="AI206" s="98"/>
      <c r="AJ206" s="98"/>
      <c r="AK206" s="98"/>
      <c r="AL206" s="98"/>
      <c r="AM206" s="98"/>
      <c r="AN206" s="98"/>
      <c r="AO206" s="98"/>
      <c r="AP206" s="98"/>
      <c r="AQ206" s="98"/>
      <c r="AR206" s="98"/>
      <c r="AS206" s="98"/>
      <c r="AT206" s="98"/>
      <c r="AU206" s="98"/>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c r="BT206" s="98"/>
      <c r="BU206" s="98"/>
      <c r="BV206" s="98"/>
      <c r="BW206" s="98"/>
      <c r="BX206" s="98"/>
      <c r="BY206" s="98"/>
      <c r="BZ206" s="98"/>
      <c r="CA206" s="98"/>
      <c r="CB206" s="98"/>
      <c r="CC206" s="98"/>
    </row>
    <row r="207" ht="15.75" customHeight="1">
      <c r="A207" s="98"/>
      <c r="B207" s="98"/>
      <c r="C207" s="98"/>
      <c r="D207" s="98"/>
      <c r="E207" s="98"/>
      <c r="F207" s="98"/>
      <c r="G207" s="98"/>
      <c r="H207" s="98"/>
      <c r="I207" s="99"/>
      <c r="J207" s="99"/>
      <c r="K207" s="99"/>
      <c r="L207" s="99"/>
      <c r="M207" s="99"/>
      <c r="N207" s="99"/>
      <c r="O207" s="99"/>
      <c r="P207" s="162"/>
      <c r="Q207" s="163"/>
      <c r="R207" s="163"/>
      <c r="S207" s="163"/>
      <c r="T207" s="164"/>
      <c r="U207" s="163"/>
      <c r="V207" s="163"/>
      <c r="W207" s="164"/>
      <c r="X207" s="98"/>
      <c r="Y207" s="98"/>
      <c r="Z207" s="98"/>
      <c r="AA207" s="98"/>
      <c r="AB207" s="98"/>
      <c r="AC207" s="98"/>
      <c r="AD207" s="98"/>
      <c r="AE207" s="98"/>
      <c r="AF207" s="98"/>
      <c r="AG207" s="98"/>
      <c r="AH207" s="98"/>
      <c r="AI207" s="98"/>
      <c r="AJ207" s="98"/>
      <c r="AK207" s="98"/>
      <c r="AL207" s="98"/>
      <c r="AM207" s="98"/>
      <c r="AN207" s="98"/>
      <c r="AO207" s="98"/>
      <c r="AP207" s="98"/>
      <c r="AQ207" s="98"/>
      <c r="AR207" s="98"/>
      <c r="AS207" s="98"/>
      <c r="AT207" s="98"/>
      <c r="AU207" s="98"/>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c r="BT207" s="98"/>
      <c r="BU207" s="98"/>
      <c r="BV207" s="98"/>
      <c r="BW207" s="98"/>
      <c r="BX207" s="98"/>
      <c r="BY207" s="98"/>
      <c r="BZ207" s="98"/>
      <c r="CA207" s="98"/>
      <c r="CB207" s="98"/>
      <c r="CC207" s="98"/>
    </row>
    <row r="208" ht="15.75" customHeight="1">
      <c r="A208" s="98"/>
      <c r="B208" s="98"/>
      <c r="C208" s="98"/>
      <c r="D208" s="98"/>
      <c r="E208" s="98"/>
      <c r="F208" s="98"/>
      <c r="G208" s="98"/>
      <c r="H208" s="98"/>
      <c r="I208" s="99"/>
      <c r="J208" s="99"/>
      <c r="K208" s="99"/>
      <c r="L208" s="99"/>
      <c r="M208" s="99"/>
      <c r="N208" s="99"/>
      <c r="O208" s="99"/>
      <c r="P208" s="162"/>
      <c r="Q208" s="163"/>
      <c r="R208" s="163"/>
      <c r="S208" s="163"/>
      <c r="T208" s="164"/>
      <c r="U208" s="163"/>
      <c r="V208" s="163"/>
      <c r="W208" s="164"/>
      <c r="X208" s="98"/>
      <c r="Y208" s="98"/>
      <c r="Z208" s="98"/>
      <c r="AA208" s="98"/>
      <c r="AB208" s="98"/>
      <c r="AC208" s="98"/>
      <c r="AD208" s="98"/>
      <c r="AE208" s="98"/>
      <c r="AF208" s="98"/>
      <c r="AG208" s="98"/>
      <c r="AH208" s="98"/>
      <c r="AI208" s="98"/>
      <c r="AJ208" s="98"/>
      <c r="AK208" s="98"/>
      <c r="AL208" s="98"/>
      <c r="AM208" s="98"/>
      <c r="AN208" s="98"/>
      <c r="AO208" s="98"/>
      <c r="AP208" s="98"/>
      <c r="AQ208" s="98"/>
      <c r="AR208" s="98"/>
      <c r="AS208" s="98"/>
      <c r="AT208" s="98"/>
      <c r="AU208" s="98"/>
      <c r="AV208" s="98"/>
      <c r="AW208" s="98"/>
      <c r="AX208" s="98"/>
      <c r="AY208" s="98"/>
      <c r="AZ208" s="98"/>
      <c r="BA208" s="98"/>
      <c r="BB208" s="98"/>
      <c r="BC208" s="98"/>
      <c r="BD208" s="98"/>
      <c r="BE208" s="98"/>
      <c r="BF208" s="98"/>
      <c r="BG208" s="98"/>
      <c r="BH208" s="98"/>
      <c r="BI208" s="98"/>
      <c r="BJ208" s="98"/>
      <c r="BK208" s="98"/>
      <c r="BL208" s="98"/>
      <c r="BM208" s="98"/>
      <c r="BN208" s="98"/>
      <c r="BO208" s="98"/>
      <c r="BP208" s="98"/>
      <c r="BQ208" s="98"/>
      <c r="BR208" s="98"/>
      <c r="BS208" s="98"/>
      <c r="BT208" s="98"/>
      <c r="BU208" s="98"/>
      <c r="BV208" s="98"/>
      <c r="BW208" s="98"/>
      <c r="BX208" s="98"/>
      <c r="BY208" s="98"/>
      <c r="BZ208" s="98"/>
      <c r="CA208" s="98"/>
      <c r="CB208" s="98"/>
      <c r="CC208" s="98"/>
    </row>
    <row r="209" ht="15.75" customHeight="1">
      <c r="A209" s="98"/>
      <c r="B209" s="98"/>
      <c r="C209" s="98"/>
      <c r="D209" s="98"/>
      <c r="E209" s="98"/>
      <c r="F209" s="98"/>
      <c r="G209" s="98"/>
      <c r="H209" s="98"/>
      <c r="I209" s="99"/>
      <c r="J209" s="99"/>
      <c r="K209" s="99"/>
      <c r="L209" s="99"/>
      <c r="M209" s="99"/>
      <c r="N209" s="99"/>
      <c r="O209" s="99"/>
      <c r="P209" s="162"/>
      <c r="Q209" s="163"/>
      <c r="R209" s="163"/>
      <c r="S209" s="163"/>
      <c r="T209" s="164"/>
      <c r="U209" s="163"/>
      <c r="V209" s="163"/>
      <c r="W209" s="164"/>
      <c r="X209" s="98"/>
      <c r="Y209" s="98"/>
      <c r="Z209" s="98"/>
      <c r="AA209" s="98"/>
      <c r="AB209" s="98"/>
      <c r="AC209" s="98"/>
      <c r="AD209" s="98"/>
      <c r="AE209" s="98"/>
      <c r="AF209" s="98"/>
      <c r="AG209" s="98"/>
      <c r="AH209" s="98"/>
      <c r="AI209" s="98"/>
      <c r="AJ209" s="98"/>
      <c r="AK209" s="98"/>
      <c r="AL209" s="98"/>
      <c r="AM209" s="98"/>
      <c r="AN209" s="98"/>
      <c r="AO209" s="98"/>
      <c r="AP209" s="98"/>
      <c r="AQ209" s="98"/>
      <c r="AR209" s="98"/>
      <c r="AS209" s="98"/>
      <c r="AT209" s="98"/>
      <c r="AU209" s="98"/>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c r="BT209" s="98"/>
      <c r="BU209" s="98"/>
      <c r="BV209" s="98"/>
      <c r="BW209" s="98"/>
      <c r="BX209" s="98"/>
      <c r="BY209" s="98"/>
      <c r="BZ209" s="98"/>
      <c r="CA209" s="98"/>
      <c r="CB209" s="98"/>
      <c r="CC209" s="98"/>
    </row>
    <row r="210" ht="15.75" customHeight="1">
      <c r="A210" s="98"/>
      <c r="B210" s="98"/>
      <c r="C210" s="98"/>
      <c r="D210" s="98"/>
      <c r="E210" s="98"/>
      <c r="F210" s="98"/>
      <c r="G210" s="98"/>
      <c r="H210" s="98"/>
      <c r="I210" s="99"/>
      <c r="J210" s="99"/>
      <c r="K210" s="99"/>
      <c r="L210" s="99"/>
      <c r="M210" s="99"/>
      <c r="N210" s="99"/>
      <c r="O210" s="99"/>
      <c r="P210" s="162"/>
      <c r="Q210" s="163"/>
      <c r="R210" s="163"/>
      <c r="S210" s="163"/>
      <c r="T210" s="164"/>
      <c r="U210" s="163"/>
      <c r="V210" s="163"/>
      <c r="W210" s="164"/>
      <c r="X210" s="98"/>
      <c r="Y210" s="98"/>
      <c r="Z210" s="98"/>
      <c r="AA210" s="98"/>
      <c r="AB210" s="98"/>
      <c r="AC210" s="98"/>
      <c r="AD210" s="98"/>
      <c r="AE210" s="98"/>
      <c r="AF210" s="98"/>
      <c r="AG210" s="98"/>
      <c r="AH210" s="98"/>
      <c r="AI210" s="98"/>
      <c r="AJ210" s="98"/>
      <c r="AK210" s="98"/>
      <c r="AL210" s="98"/>
      <c r="AM210" s="98"/>
      <c r="AN210" s="98"/>
      <c r="AO210" s="98"/>
      <c r="AP210" s="98"/>
      <c r="AQ210" s="98"/>
      <c r="AR210" s="98"/>
      <c r="AS210" s="98"/>
      <c r="AT210" s="98"/>
      <c r="AU210" s="98"/>
      <c r="AV210" s="98"/>
      <c r="AW210" s="98"/>
      <c r="AX210" s="98"/>
      <c r="AY210" s="98"/>
      <c r="AZ210" s="98"/>
      <c r="BA210" s="98"/>
      <c r="BB210" s="98"/>
      <c r="BC210" s="98"/>
      <c r="BD210" s="98"/>
      <c r="BE210" s="98"/>
      <c r="BF210" s="98"/>
      <c r="BG210" s="98"/>
      <c r="BH210" s="98"/>
      <c r="BI210" s="98"/>
      <c r="BJ210" s="98"/>
      <c r="BK210" s="98"/>
      <c r="BL210" s="98"/>
      <c r="BM210" s="98"/>
      <c r="BN210" s="98"/>
      <c r="BO210" s="98"/>
      <c r="BP210" s="98"/>
      <c r="BQ210" s="98"/>
      <c r="BR210" s="98"/>
      <c r="BS210" s="98"/>
      <c r="BT210" s="98"/>
      <c r="BU210" s="98"/>
      <c r="BV210" s="98"/>
      <c r="BW210" s="98"/>
      <c r="BX210" s="98"/>
      <c r="BY210" s="98"/>
      <c r="BZ210" s="98"/>
      <c r="CA210" s="98"/>
      <c r="CB210" s="98"/>
      <c r="CC210" s="98"/>
    </row>
    <row r="211" ht="15.75" customHeight="1">
      <c r="A211" s="98"/>
      <c r="B211" s="98"/>
      <c r="C211" s="98"/>
      <c r="D211" s="98"/>
      <c r="E211" s="98"/>
      <c r="F211" s="98"/>
      <c r="G211" s="98"/>
      <c r="H211" s="98"/>
      <c r="I211" s="99"/>
      <c r="J211" s="99"/>
      <c r="K211" s="99"/>
      <c r="L211" s="99"/>
      <c r="M211" s="99"/>
      <c r="N211" s="99"/>
      <c r="O211" s="99"/>
      <c r="P211" s="162"/>
      <c r="Q211" s="163"/>
      <c r="R211" s="163"/>
      <c r="S211" s="163"/>
      <c r="T211" s="164"/>
      <c r="U211" s="163"/>
      <c r="V211" s="163"/>
      <c r="W211" s="164"/>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c r="CB211" s="98"/>
      <c r="CC211" s="98"/>
    </row>
    <row r="212" ht="15.75" customHeight="1">
      <c r="A212" s="98"/>
      <c r="B212" s="98"/>
      <c r="C212" s="98"/>
      <c r="D212" s="98"/>
      <c r="E212" s="98"/>
      <c r="F212" s="98"/>
      <c r="G212" s="98"/>
      <c r="H212" s="98"/>
      <c r="I212" s="99"/>
      <c r="J212" s="99"/>
      <c r="K212" s="99"/>
      <c r="L212" s="99"/>
      <c r="M212" s="99"/>
      <c r="N212" s="99"/>
      <c r="O212" s="99"/>
      <c r="P212" s="162"/>
      <c r="Q212" s="163"/>
      <c r="R212" s="163"/>
      <c r="S212" s="163"/>
      <c r="T212" s="164"/>
      <c r="U212" s="163"/>
      <c r="V212" s="163"/>
      <c r="W212" s="164"/>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8"/>
      <c r="AU212" s="98"/>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c r="BT212" s="98"/>
      <c r="BU212" s="98"/>
      <c r="BV212" s="98"/>
      <c r="BW212" s="98"/>
      <c r="BX212" s="98"/>
      <c r="BY212" s="98"/>
      <c r="BZ212" s="98"/>
      <c r="CA212" s="98"/>
      <c r="CB212" s="98"/>
      <c r="CC212" s="98"/>
    </row>
    <row r="213" ht="15.75" customHeight="1">
      <c r="A213" s="98"/>
      <c r="B213" s="98"/>
      <c r="C213" s="98"/>
      <c r="D213" s="98"/>
      <c r="E213" s="98"/>
      <c r="F213" s="98"/>
      <c r="G213" s="98"/>
      <c r="H213" s="98"/>
      <c r="I213" s="99"/>
      <c r="J213" s="99"/>
      <c r="K213" s="99"/>
      <c r="L213" s="99"/>
      <c r="M213" s="99"/>
      <c r="N213" s="99"/>
      <c r="O213" s="99"/>
      <c r="P213" s="162"/>
      <c r="Q213" s="163"/>
      <c r="R213" s="163"/>
      <c r="S213" s="163"/>
      <c r="T213" s="164"/>
      <c r="U213" s="163"/>
      <c r="V213" s="163"/>
      <c r="W213" s="164"/>
      <c r="X213" s="98"/>
      <c r="Y213" s="98"/>
      <c r="Z213" s="98"/>
      <c r="AA213" s="98"/>
      <c r="AB213" s="98"/>
      <c r="AC213" s="98"/>
      <c r="AD213" s="98"/>
      <c r="AE213" s="98"/>
      <c r="AF213" s="98"/>
      <c r="AG213" s="98"/>
      <c r="AH213" s="98"/>
      <c r="AI213" s="98"/>
      <c r="AJ213" s="98"/>
      <c r="AK213" s="98"/>
      <c r="AL213" s="98"/>
      <c r="AM213" s="98"/>
      <c r="AN213" s="98"/>
      <c r="AO213" s="98"/>
      <c r="AP213" s="98"/>
      <c r="AQ213" s="98"/>
      <c r="AR213" s="98"/>
      <c r="AS213" s="98"/>
      <c r="AT213" s="98"/>
      <c r="AU213" s="98"/>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c r="BT213" s="98"/>
      <c r="BU213" s="98"/>
      <c r="BV213" s="98"/>
      <c r="BW213" s="98"/>
      <c r="BX213" s="98"/>
      <c r="BY213" s="98"/>
      <c r="BZ213" s="98"/>
      <c r="CA213" s="98"/>
      <c r="CB213" s="98"/>
      <c r="CC213" s="98"/>
    </row>
    <row r="214" ht="15.75" customHeight="1">
      <c r="A214" s="98"/>
      <c r="B214" s="98"/>
      <c r="C214" s="98"/>
      <c r="D214" s="98"/>
      <c r="E214" s="98"/>
      <c r="F214" s="98"/>
      <c r="G214" s="98"/>
      <c r="H214" s="98"/>
      <c r="I214" s="99"/>
      <c r="J214" s="99"/>
      <c r="K214" s="99"/>
      <c r="L214" s="99"/>
      <c r="M214" s="99"/>
      <c r="N214" s="99"/>
      <c r="O214" s="99"/>
      <c r="P214" s="162"/>
      <c r="Q214" s="163"/>
      <c r="R214" s="163"/>
      <c r="S214" s="163"/>
      <c r="T214" s="164"/>
      <c r="U214" s="163"/>
      <c r="V214" s="163"/>
      <c r="W214" s="164"/>
      <c r="X214" s="98"/>
      <c r="Y214" s="98"/>
      <c r="Z214" s="98"/>
      <c r="AA214" s="98"/>
      <c r="AB214" s="98"/>
      <c r="AC214" s="98"/>
      <c r="AD214" s="98"/>
      <c r="AE214" s="98"/>
      <c r="AF214" s="98"/>
      <c r="AG214" s="98"/>
      <c r="AH214" s="98"/>
      <c r="AI214" s="98"/>
      <c r="AJ214" s="98"/>
      <c r="AK214" s="98"/>
      <c r="AL214" s="98"/>
      <c r="AM214" s="98"/>
      <c r="AN214" s="98"/>
      <c r="AO214" s="98"/>
      <c r="AP214" s="98"/>
      <c r="AQ214" s="98"/>
      <c r="AR214" s="98"/>
      <c r="AS214" s="98"/>
      <c r="AT214" s="98"/>
      <c r="AU214" s="98"/>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c r="BT214" s="98"/>
      <c r="BU214" s="98"/>
      <c r="BV214" s="98"/>
      <c r="BW214" s="98"/>
      <c r="BX214" s="98"/>
      <c r="BY214" s="98"/>
      <c r="BZ214" s="98"/>
      <c r="CA214" s="98"/>
      <c r="CB214" s="98"/>
      <c r="CC214" s="98"/>
    </row>
    <row r="215" ht="15.75" customHeight="1">
      <c r="A215" s="98"/>
      <c r="B215" s="98"/>
      <c r="C215" s="98"/>
      <c r="D215" s="98"/>
      <c r="E215" s="98"/>
      <c r="F215" s="98"/>
      <c r="G215" s="98"/>
      <c r="H215" s="98"/>
      <c r="I215" s="99"/>
      <c r="J215" s="99"/>
      <c r="K215" s="99"/>
      <c r="L215" s="99"/>
      <c r="M215" s="99"/>
      <c r="N215" s="99"/>
      <c r="O215" s="99"/>
      <c r="P215" s="162"/>
      <c r="Q215" s="163"/>
      <c r="R215" s="163"/>
      <c r="S215" s="163"/>
      <c r="T215" s="164"/>
      <c r="U215" s="163"/>
      <c r="V215" s="163"/>
      <c r="W215" s="164"/>
      <c r="X215" s="98"/>
      <c r="Y215" s="98"/>
      <c r="Z215" s="98"/>
      <c r="AA215" s="98"/>
      <c r="AB215" s="98"/>
      <c r="AC215" s="98"/>
      <c r="AD215" s="98"/>
      <c r="AE215" s="98"/>
      <c r="AF215" s="98"/>
      <c r="AG215" s="98"/>
      <c r="AH215" s="98"/>
      <c r="AI215" s="98"/>
      <c r="AJ215" s="98"/>
      <c r="AK215" s="98"/>
      <c r="AL215" s="98"/>
      <c r="AM215" s="98"/>
      <c r="AN215" s="98"/>
      <c r="AO215" s="98"/>
      <c r="AP215" s="98"/>
      <c r="AQ215" s="98"/>
      <c r="AR215" s="98"/>
      <c r="AS215" s="98"/>
      <c r="AT215" s="98"/>
      <c r="AU215" s="98"/>
      <c r="AV215" s="98"/>
      <c r="AW215" s="98"/>
      <c r="AX215" s="98"/>
      <c r="AY215" s="98"/>
      <c r="AZ215" s="98"/>
      <c r="BA215" s="98"/>
      <c r="BB215" s="98"/>
      <c r="BC215" s="98"/>
      <c r="BD215" s="98"/>
      <c r="BE215" s="98"/>
      <c r="BF215" s="98"/>
      <c r="BG215" s="98"/>
      <c r="BH215" s="98"/>
      <c r="BI215" s="98"/>
      <c r="BJ215" s="98"/>
      <c r="BK215" s="98"/>
      <c r="BL215" s="98"/>
      <c r="BM215" s="98"/>
      <c r="BN215" s="98"/>
      <c r="BO215" s="98"/>
      <c r="BP215" s="98"/>
      <c r="BQ215" s="98"/>
      <c r="BR215" s="98"/>
      <c r="BS215" s="98"/>
      <c r="BT215" s="98"/>
      <c r="BU215" s="98"/>
      <c r="BV215" s="98"/>
      <c r="BW215" s="98"/>
      <c r="BX215" s="98"/>
      <c r="BY215" s="98"/>
      <c r="BZ215" s="98"/>
      <c r="CA215" s="98"/>
      <c r="CB215" s="98"/>
      <c r="CC215" s="98"/>
    </row>
    <row r="216" ht="15.75" customHeight="1">
      <c r="A216" s="98"/>
      <c r="B216" s="98"/>
      <c r="C216" s="98"/>
      <c r="D216" s="98"/>
      <c r="E216" s="98"/>
      <c r="F216" s="98"/>
      <c r="G216" s="98"/>
      <c r="H216" s="98"/>
      <c r="I216" s="99"/>
      <c r="J216" s="99"/>
      <c r="K216" s="99"/>
      <c r="L216" s="99"/>
      <c r="M216" s="99"/>
      <c r="N216" s="99"/>
      <c r="O216" s="99"/>
      <c r="P216" s="162"/>
      <c r="Q216" s="163"/>
      <c r="R216" s="163"/>
      <c r="S216" s="163"/>
      <c r="T216" s="164"/>
      <c r="U216" s="163"/>
      <c r="V216" s="163"/>
      <c r="W216" s="164"/>
      <c r="X216" s="98"/>
      <c r="Y216" s="98"/>
      <c r="Z216" s="98"/>
      <c r="AA216" s="98"/>
      <c r="AB216" s="98"/>
      <c r="AC216" s="98"/>
      <c r="AD216" s="98"/>
      <c r="AE216" s="98"/>
      <c r="AF216" s="98"/>
      <c r="AG216" s="98"/>
      <c r="AH216" s="98"/>
      <c r="AI216" s="98"/>
      <c r="AJ216" s="98"/>
      <c r="AK216" s="98"/>
      <c r="AL216" s="98"/>
      <c r="AM216" s="98"/>
      <c r="AN216" s="98"/>
      <c r="AO216" s="98"/>
      <c r="AP216" s="98"/>
      <c r="AQ216" s="98"/>
      <c r="AR216" s="98"/>
      <c r="AS216" s="98"/>
      <c r="AT216" s="98"/>
      <c r="AU216" s="98"/>
      <c r="AV216" s="98"/>
      <c r="AW216" s="98"/>
      <c r="AX216" s="98"/>
      <c r="AY216" s="98"/>
      <c r="AZ216" s="98"/>
      <c r="BA216" s="98"/>
      <c r="BB216" s="98"/>
      <c r="BC216" s="98"/>
      <c r="BD216" s="98"/>
      <c r="BE216" s="98"/>
      <c r="BF216" s="98"/>
      <c r="BG216" s="98"/>
      <c r="BH216" s="98"/>
      <c r="BI216" s="98"/>
      <c r="BJ216" s="98"/>
      <c r="BK216" s="98"/>
      <c r="BL216" s="98"/>
      <c r="BM216" s="98"/>
      <c r="BN216" s="98"/>
      <c r="BO216" s="98"/>
      <c r="BP216" s="98"/>
      <c r="BQ216" s="98"/>
      <c r="BR216" s="98"/>
      <c r="BS216" s="98"/>
      <c r="BT216" s="98"/>
      <c r="BU216" s="98"/>
      <c r="BV216" s="98"/>
      <c r="BW216" s="98"/>
      <c r="BX216" s="98"/>
      <c r="BY216" s="98"/>
      <c r="BZ216" s="98"/>
      <c r="CA216" s="98"/>
      <c r="CB216" s="98"/>
      <c r="CC216" s="98"/>
    </row>
    <row r="217" ht="15.75" customHeight="1">
      <c r="A217" s="98"/>
      <c r="B217" s="98"/>
      <c r="C217" s="98"/>
      <c r="D217" s="98"/>
      <c r="E217" s="98"/>
      <c r="F217" s="98"/>
      <c r="G217" s="98"/>
      <c r="H217" s="98"/>
      <c r="I217" s="99"/>
      <c r="J217" s="99"/>
      <c r="K217" s="99"/>
      <c r="L217" s="99"/>
      <c r="M217" s="99"/>
      <c r="N217" s="99"/>
      <c r="O217" s="99"/>
      <c r="P217" s="162"/>
      <c r="Q217" s="163"/>
      <c r="R217" s="163"/>
      <c r="S217" s="163"/>
      <c r="T217" s="164"/>
      <c r="U217" s="163"/>
      <c r="V217" s="163"/>
      <c r="W217" s="164"/>
      <c r="X217" s="98"/>
      <c r="Y217" s="98"/>
      <c r="Z217" s="98"/>
      <c r="AA217" s="98"/>
      <c r="AB217" s="98"/>
      <c r="AC217" s="98"/>
      <c r="AD217" s="98"/>
      <c r="AE217" s="98"/>
      <c r="AF217" s="98"/>
      <c r="AG217" s="98"/>
      <c r="AH217" s="98"/>
      <c r="AI217" s="98"/>
      <c r="AJ217" s="98"/>
      <c r="AK217" s="98"/>
      <c r="AL217" s="98"/>
      <c r="AM217" s="98"/>
      <c r="AN217" s="98"/>
      <c r="AO217" s="98"/>
      <c r="AP217" s="98"/>
      <c r="AQ217" s="98"/>
      <c r="AR217" s="98"/>
      <c r="AS217" s="98"/>
      <c r="AT217" s="98"/>
      <c r="AU217" s="98"/>
      <c r="AV217" s="98"/>
      <c r="AW217" s="98"/>
      <c r="AX217" s="98"/>
      <c r="AY217" s="98"/>
      <c r="AZ217" s="98"/>
      <c r="BA217" s="98"/>
      <c r="BB217" s="98"/>
      <c r="BC217" s="98"/>
      <c r="BD217" s="98"/>
      <c r="BE217" s="98"/>
      <c r="BF217" s="98"/>
      <c r="BG217" s="98"/>
      <c r="BH217" s="98"/>
      <c r="BI217" s="98"/>
      <c r="BJ217" s="98"/>
      <c r="BK217" s="98"/>
      <c r="BL217" s="98"/>
      <c r="BM217" s="98"/>
      <c r="BN217" s="98"/>
      <c r="BO217" s="98"/>
      <c r="BP217" s="98"/>
      <c r="BQ217" s="98"/>
      <c r="BR217" s="98"/>
      <c r="BS217" s="98"/>
      <c r="BT217" s="98"/>
      <c r="BU217" s="98"/>
      <c r="BV217" s="98"/>
      <c r="BW217" s="98"/>
      <c r="BX217" s="98"/>
      <c r="BY217" s="98"/>
      <c r="BZ217" s="98"/>
      <c r="CA217" s="98"/>
      <c r="CB217" s="98"/>
      <c r="CC217" s="98"/>
    </row>
    <row r="218" ht="15.75" customHeight="1">
      <c r="A218" s="98"/>
      <c r="B218" s="98"/>
      <c r="C218" s="98"/>
      <c r="D218" s="98"/>
      <c r="E218" s="98"/>
      <c r="F218" s="98"/>
      <c r="G218" s="98"/>
      <c r="H218" s="98"/>
      <c r="I218" s="99"/>
      <c r="J218" s="99"/>
      <c r="K218" s="99"/>
      <c r="L218" s="99"/>
      <c r="M218" s="99"/>
      <c r="N218" s="99"/>
      <c r="O218" s="99"/>
      <c r="P218" s="162"/>
      <c r="Q218" s="163"/>
      <c r="R218" s="163"/>
      <c r="S218" s="163"/>
      <c r="T218" s="164"/>
      <c r="U218" s="163"/>
      <c r="V218" s="163"/>
      <c r="W218" s="164"/>
      <c r="X218" s="98"/>
      <c r="Y218" s="98"/>
      <c r="Z218" s="98"/>
      <c r="AA218" s="98"/>
      <c r="AB218" s="98"/>
      <c r="AC218" s="98"/>
      <c r="AD218" s="98"/>
      <c r="AE218" s="98"/>
      <c r="AF218" s="98"/>
      <c r="AG218" s="98"/>
      <c r="AH218" s="98"/>
      <c r="AI218" s="98"/>
      <c r="AJ218" s="98"/>
      <c r="AK218" s="98"/>
      <c r="AL218" s="98"/>
      <c r="AM218" s="98"/>
      <c r="AN218" s="98"/>
      <c r="AO218" s="98"/>
      <c r="AP218" s="98"/>
      <c r="AQ218" s="98"/>
      <c r="AR218" s="98"/>
      <c r="AS218" s="98"/>
      <c r="AT218" s="98"/>
      <c r="AU218" s="98"/>
      <c r="AV218" s="98"/>
      <c r="AW218" s="98"/>
      <c r="AX218" s="98"/>
      <c r="AY218" s="98"/>
      <c r="AZ218" s="98"/>
      <c r="BA218" s="98"/>
      <c r="BB218" s="98"/>
      <c r="BC218" s="98"/>
      <c r="BD218" s="98"/>
      <c r="BE218" s="98"/>
      <c r="BF218" s="98"/>
      <c r="BG218" s="98"/>
      <c r="BH218" s="98"/>
      <c r="BI218" s="98"/>
      <c r="BJ218" s="98"/>
      <c r="BK218" s="98"/>
      <c r="BL218" s="98"/>
      <c r="BM218" s="98"/>
      <c r="BN218" s="98"/>
      <c r="BO218" s="98"/>
      <c r="BP218" s="98"/>
      <c r="BQ218" s="98"/>
      <c r="BR218" s="98"/>
      <c r="BS218" s="98"/>
      <c r="BT218" s="98"/>
      <c r="BU218" s="98"/>
      <c r="BV218" s="98"/>
      <c r="BW218" s="98"/>
      <c r="BX218" s="98"/>
      <c r="BY218" s="98"/>
      <c r="BZ218" s="98"/>
      <c r="CA218" s="98"/>
      <c r="CB218" s="98"/>
      <c r="CC218" s="98"/>
    </row>
    <row r="219" ht="15.75" customHeight="1">
      <c r="A219" s="98"/>
      <c r="B219" s="98"/>
      <c r="C219" s="98"/>
      <c r="D219" s="98"/>
      <c r="E219" s="98"/>
      <c r="F219" s="98"/>
      <c r="G219" s="98"/>
      <c r="H219" s="98"/>
      <c r="I219" s="99"/>
      <c r="J219" s="99"/>
      <c r="K219" s="99"/>
      <c r="L219" s="99"/>
      <c r="M219" s="99"/>
      <c r="N219" s="99"/>
      <c r="O219" s="99"/>
      <c r="P219" s="162"/>
      <c r="Q219" s="163"/>
      <c r="R219" s="163"/>
      <c r="S219" s="163"/>
      <c r="T219" s="164"/>
      <c r="U219" s="163"/>
      <c r="V219" s="163"/>
      <c r="W219" s="164"/>
      <c r="X219" s="98"/>
      <c r="Y219" s="98"/>
      <c r="Z219" s="98"/>
      <c r="AA219" s="98"/>
      <c r="AB219" s="98"/>
      <c r="AC219" s="98"/>
      <c r="AD219" s="98"/>
      <c r="AE219" s="98"/>
      <c r="AF219" s="98"/>
      <c r="AG219" s="98"/>
      <c r="AH219" s="98"/>
      <c r="AI219" s="98"/>
      <c r="AJ219" s="98"/>
      <c r="AK219" s="98"/>
      <c r="AL219" s="98"/>
      <c r="AM219" s="98"/>
      <c r="AN219" s="98"/>
      <c r="AO219" s="98"/>
      <c r="AP219" s="98"/>
      <c r="AQ219" s="98"/>
      <c r="AR219" s="98"/>
      <c r="AS219" s="98"/>
      <c r="AT219" s="98"/>
      <c r="AU219" s="98"/>
      <c r="AV219" s="98"/>
      <c r="AW219" s="98"/>
      <c r="AX219" s="98"/>
      <c r="AY219" s="98"/>
      <c r="AZ219" s="98"/>
      <c r="BA219" s="98"/>
      <c r="BB219" s="98"/>
      <c r="BC219" s="98"/>
      <c r="BD219" s="98"/>
      <c r="BE219" s="98"/>
      <c r="BF219" s="98"/>
      <c r="BG219" s="98"/>
      <c r="BH219" s="98"/>
      <c r="BI219" s="98"/>
      <c r="BJ219" s="98"/>
      <c r="BK219" s="98"/>
      <c r="BL219" s="98"/>
      <c r="BM219" s="98"/>
      <c r="BN219" s="98"/>
      <c r="BO219" s="98"/>
      <c r="BP219" s="98"/>
      <c r="BQ219" s="98"/>
      <c r="BR219" s="98"/>
      <c r="BS219" s="98"/>
      <c r="BT219" s="98"/>
      <c r="BU219" s="98"/>
      <c r="BV219" s="98"/>
      <c r="BW219" s="98"/>
      <c r="BX219" s="98"/>
      <c r="BY219" s="98"/>
      <c r="BZ219" s="98"/>
      <c r="CA219" s="98"/>
      <c r="CB219" s="98"/>
      <c r="CC219" s="98"/>
    </row>
    <row r="220" ht="15.75" customHeight="1">
      <c r="A220" s="98"/>
      <c r="B220" s="98"/>
      <c r="C220" s="98"/>
      <c r="D220" s="98"/>
      <c r="E220" s="98"/>
      <c r="F220" s="98"/>
      <c r="G220" s="98"/>
      <c r="H220" s="98"/>
      <c r="I220" s="99"/>
      <c r="J220" s="99"/>
      <c r="K220" s="99"/>
      <c r="L220" s="99"/>
      <c r="M220" s="99"/>
      <c r="N220" s="99"/>
      <c r="O220" s="99"/>
      <c r="P220" s="162"/>
      <c r="Q220" s="163"/>
      <c r="R220" s="163"/>
      <c r="S220" s="163"/>
      <c r="T220" s="164"/>
      <c r="U220" s="163"/>
      <c r="V220" s="163"/>
      <c r="W220" s="164"/>
      <c r="X220" s="98"/>
      <c r="Y220" s="98"/>
      <c r="Z220" s="98"/>
      <c r="AA220" s="98"/>
      <c r="AB220" s="98"/>
      <c r="AC220" s="98"/>
      <c r="AD220" s="98"/>
      <c r="AE220" s="98"/>
      <c r="AF220" s="98"/>
      <c r="AG220" s="98"/>
      <c r="AH220" s="98"/>
      <c r="AI220" s="98"/>
      <c r="AJ220" s="98"/>
      <c r="AK220" s="98"/>
      <c r="AL220" s="98"/>
      <c r="AM220" s="98"/>
      <c r="AN220" s="98"/>
      <c r="AO220" s="98"/>
      <c r="AP220" s="98"/>
      <c r="AQ220" s="98"/>
      <c r="AR220" s="98"/>
      <c r="AS220" s="98"/>
      <c r="AT220" s="98"/>
      <c r="AU220" s="98"/>
      <c r="AV220" s="98"/>
      <c r="AW220" s="98"/>
      <c r="AX220" s="98"/>
      <c r="AY220" s="98"/>
      <c r="AZ220" s="98"/>
      <c r="BA220" s="98"/>
      <c r="BB220" s="98"/>
      <c r="BC220" s="98"/>
      <c r="BD220" s="98"/>
      <c r="BE220" s="98"/>
      <c r="BF220" s="98"/>
      <c r="BG220" s="98"/>
      <c r="BH220" s="98"/>
      <c r="BI220" s="98"/>
      <c r="BJ220" s="98"/>
      <c r="BK220" s="98"/>
      <c r="BL220" s="98"/>
      <c r="BM220" s="98"/>
      <c r="BN220" s="98"/>
      <c r="BO220" s="98"/>
      <c r="BP220" s="98"/>
      <c r="BQ220" s="98"/>
      <c r="BR220" s="98"/>
      <c r="BS220" s="98"/>
      <c r="BT220" s="98"/>
      <c r="BU220" s="98"/>
      <c r="BV220" s="98"/>
      <c r="BW220" s="98"/>
      <c r="BX220" s="98"/>
      <c r="BY220" s="98"/>
      <c r="BZ220" s="98"/>
      <c r="CA220" s="98"/>
      <c r="CB220" s="98"/>
      <c r="CC220" s="98"/>
    </row>
    <row r="221" ht="15.75" customHeight="1">
      <c r="A221" s="98"/>
      <c r="B221" s="98"/>
      <c r="C221" s="98"/>
      <c r="D221" s="98"/>
      <c r="E221" s="98"/>
      <c r="F221" s="98"/>
      <c r="G221" s="98"/>
      <c r="H221" s="98"/>
      <c r="I221" s="99"/>
      <c r="J221" s="99"/>
      <c r="K221" s="99"/>
      <c r="L221" s="99"/>
      <c r="M221" s="99"/>
      <c r="N221" s="99"/>
      <c r="O221" s="99"/>
      <c r="P221" s="162"/>
      <c r="Q221" s="163"/>
      <c r="R221" s="163"/>
      <c r="S221" s="163"/>
      <c r="T221" s="164"/>
      <c r="U221" s="163"/>
      <c r="V221" s="163"/>
      <c r="W221" s="164"/>
      <c r="X221" s="98"/>
      <c r="Y221" s="98"/>
      <c r="Z221" s="98"/>
      <c r="AA221" s="98"/>
      <c r="AB221" s="98"/>
      <c r="AC221" s="98"/>
      <c r="AD221" s="98"/>
      <c r="AE221" s="98"/>
      <c r="AF221" s="98"/>
      <c r="AG221" s="98"/>
      <c r="AH221" s="98"/>
      <c r="AI221" s="98"/>
      <c r="AJ221" s="98"/>
      <c r="AK221" s="98"/>
      <c r="AL221" s="98"/>
      <c r="AM221" s="98"/>
      <c r="AN221" s="98"/>
      <c r="AO221" s="98"/>
      <c r="AP221" s="98"/>
      <c r="AQ221" s="98"/>
      <c r="AR221" s="98"/>
      <c r="AS221" s="98"/>
      <c r="AT221" s="98"/>
      <c r="AU221" s="98"/>
      <c r="AV221" s="98"/>
      <c r="AW221" s="98"/>
      <c r="AX221" s="98"/>
      <c r="AY221" s="98"/>
      <c r="AZ221" s="98"/>
      <c r="BA221" s="98"/>
      <c r="BB221" s="98"/>
      <c r="BC221" s="98"/>
      <c r="BD221" s="98"/>
      <c r="BE221" s="98"/>
      <c r="BF221" s="98"/>
      <c r="BG221" s="98"/>
      <c r="BH221" s="98"/>
      <c r="BI221" s="98"/>
      <c r="BJ221" s="98"/>
      <c r="BK221" s="98"/>
      <c r="BL221" s="98"/>
      <c r="BM221" s="98"/>
      <c r="BN221" s="98"/>
      <c r="BO221" s="98"/>
      <c r="BP221" s="98"/>
      <c r="BQ221" s="98"/>
      <c r="BR221" s="98"/>
      <c r="BS221" s="98"/>
      <c r="BT221" s="98"/>
      <c r="BU221" s="98"/>
      <c r="BV221" s="98"/>
      <c r="BW221" s="98"/>
      <c r="BX221" s="98"/>
      <c r="BY221" s="98"/>
      <c r="BZ221" s="98"/>
      <c r="CA221" s="98"/>
      <c r="CB221" s="98"/>
      <c r="CC221" s="98"/>
    </row>
    <row r="222" ht="15.75" customHeight="1">
      <c r="A222" s="98"/>
      <c r="B222" s="98"/>
      <c r="C222" s="98"/>
      <c r="D222" s="98"/>
      <c r="E222" s="98"/>
      <c r="F222" s="98"/>
      <c r="G222" s="98"/>
      <c r="H222" s="98"/>
      <c r="I222" s="99"/>
      <c r="J222" s="99"/>
      <c r="K222" s="99"/>
      <c r="L222" s="99"/>
      <c r="M222" s="99"/>
      <c r="N222" s="99"/>
      <c r="O222" s="99"/>
      <c r="P222" s="162"/>
      <c r="Q222" s="163"/>
      <c r="R222" s="163"/>
      <c r="S222" s="163"/>
      <c r="T222" s="164"/>
      <c r="U222" s="163"/>
      <c r="V222" s="163"/>
      <c r="W222" s="164"/>
      <c r="X222" s="98"/>
      <c r="Y222" s="98"/>
      <c r="Z222" s="98"/>
      <c r="AA222" s="98"/>
      <c r="AB222" s="98"/>
      <c r="AC222" s="98"/>
      <c r="AD222" s="98"/>
      <c r="AE222" s="98"/>
      <c r="AF222" s="98"/>
      <c r="AG222" s="98"/>
      <c r="AH222" s="98"/>
      <c r="AI222" s="98"/>
      <c r="AJ222" s="98"/>
      <c r="AK222" s="98"/>
      <c r="AL222" s="98"/>
      <c r="AM222" s="98"/>
      <c r="AN222" s="98"/>
      <c r="AO222" s="98"/>
      <c r="AP222" s="98"/>
      <c r="AQ222" s="98"/>
      <c r="AR222" s="98"/>
      <c r="AS222" s="98"/>
      <c r="AT222" s="98"/>
      <c r="AU222" s="98"/>
      <c r="AV222" s="98"/>
      <c r="AW222" s="98"/>
      <c r="AX222" s="98"/>
      <c r="AY222" s="98"/>
      <c r="AZ222" s="98"/>
      <c r="BA222" s="98"/>
      <c r="BB222" s="98"/>
      <c r="BC222" s="98"/>
      <c r="BD222" s="98"/>
      <c r="BE222" s="98"/>
      <c r="BF222" s="98"/>
      <c r="BG222" s="98"/>
      <c r="BH222" s="98"/>
      <c r="BI222" s="98"/>
      <c r="BJ222" s="98"/>
      <c r="BK222" s="98"/>
      <c r="BL222" s="98"/>
      <c r="BM222" s="98"/>
      <c r="BN222" s="98"/>
      <c r="BO222" s="98"/>
      <c r="BP222" s="98"/>
      <c r="BQ222" s="98"/>
      <c r="BR222" s="98"/>
      <c r="BS222" s="98"/>
      <c r="BT222" s="98"/>
      <c r="BU222" s="98"/>
      <c r="BV222" s="98"/>
      <c r="BW222" s="98"/>
      <c r="BX222" s="98"/>
      <c r="BY222" s="98"/>
      <c r="BZ222" s="98"/>
      <c r="CA222" s="98"/>
      <c r="CB222" s="98"/>
      <c r="CC222" s="98"/>
    </row>
    <row r="223" ht="15.75" customHeight="1">
      <c r="A223" s="98"/>
      <c r="B223" s="98"/>
      <c r="C223" s="98"/>
      <c r="D223" s="98"/>
      <c r="E223" s="98"/>
      <c r="F223" s="98"/>
      <c r="G223" s="98"/>
      <c r="H223" s="98"/>
      <c r="I223" s="99"/>
      <c r="J223" s="99"/>
      <c r="K223" s="99"/>
      <c r="L223" s="99"/>
      <c r="M223" s="99"/>
      <c r="N223" s="99"/>
      <c r="O223" s="99"/>
      <c r="P223" s="162"/>
      <c r="Q223" s="163"/>
      <c r="R223" s="163"/>
      <c r="S223" s="163"/>
      <c r="T223" s="164"/>
      <c r="U223" s="163"/>
      <c r="V223" s="163"/>
      <c r="W223" s="164"/>
      <c r="X223" s="98"/>
      <c r="Y223" s="98"/>
      <c r="Z223" s="98"/>
      <c r="AA223" s="98"/>
      <c r="AB223" s="98"/>
      <c r="AC223" s="98"/>
      <c r="AD223" s="98"/>
      <c r="AE223" s="98"/>
      <c r="AF223" s="98"/>
      <c r="AG223" s="98"/>
      <c r="AH223" s="98"/>
      <c r="AI223" s="98"/>
      <c r="AJ223" s="98"/>
      <c r="AK223" s="98"/>
      <c r="AL223" s="98"/>
      <c r="AM223" s="98"/>
      <c r="AN223" s="98"/>
      <c r="AO223" s="98"/>
      <c r="AP223" s="98"/>
      <c r="AQ223" s="98"/>
      <c r="AR223" s="98"/>
      <c r="AS223" s="98"/>
      <c r="AT223" s="98"/>
      <c r="AU223" s="98"/>
      <c r="AV223" s="98"/>
      <c r="AW223" s="98"/>
      <c r="AX223" s="98"/>
      <c r="AY223" s="98"/>
      <c r="AZ223" s="98"/>
      <c r="BA223" s="98"/>
      <c r="BB223" s="98"/>
      <c r="BC223" s="98"/>
      <c r="BD223" s="98"/>
      <c r="BE223" s="98"/>
      <c r="BF223" s="98"/>
      <c r="BG223" s="98"/>
      <c r="BH223" s="98"/>
      <c r="BI223" s="98"/>
      <c r="BJ223" s="98"/>
      <c r="BK223" s="98"/>
      <c r="BL223" s="98"/>
      <c r="BM223" s="98"/>
      <c r="BN223" s="98"/>
      <c r="BO223" s="98"/>
      <c r="BP223" s="98"/>
      <c r="BQ223" s="98"/>
      <c r="BR223" s="98"/>
      <c r="BS223" s="98"/>
      <c r="BT223" s="98"/>
      <c r="BU223" s="98"/>
      <c r="BV223" s="98"/>
      <c r="BW223" s="98"/>
      <c r="BX223" s="98"/>
      <c r="BY223" s="98"/>
      <c r="BZ223" s="98"/>
      <c r="CA223" s="98"/>
      <c r="CB223" s="98"/>
      <c r="CC223" s="98"/>
    </row>
    <row r="224" ht="15.75" customHeight="1">
      <c r="A224" s="98"/>
      <c r="B224" s="98"/>
      <c r="C224" s="98"/>
      <c r="D224" s="98"/>
      <c r="E224" s="98"/>
      <c r="F224" s="98"/>
      <c r="G224" s="98"/>
      <c r="H224" s="98"/>
      <c r="I224" s="99"/>
      <c r="J224" s="99"/>
      <c r="K224" s="99"/>
      <c r="L224" s="99"/>
      <c r="M224" s="99"/>
      <c r="N224" s="99"/>
      <c r="O224" s="99"/>
      <c r="P224" s="162"/>
      <c r="Q224" s="163"/>
      <c r="R224" s="163"/>
      <c r="S224" s="163"/>
      <c r="T224" s="164"/>
      <c r="U224" s="163"/>
      <c r="V224" s="163"/>
      <c r="W224" s="164"/>
      <c r="X224" s="98"/>
      <c r="Y224" s="98"/>
      <c r="Z224" s="98"/>
      <c r="AA224" s="98"/>
      <c r="AB224" s="98"/>
      <c r="AC224" s="98"/>
      <c r="AD224" s="98"/>
      <c r="AE224" s="98"/>
      <c r="AF224" s="98"/>
      <c r="AG224" s="98"/>
      <c r="AH224" s="98"/>
      <c r="AI224" s="98"/>
      <c r="AJ224" s="98"/>
      <c r="AK224" s="98"/>
      <c r="AL224" s="98"/>
      <c r="AM224" s="98"/>
      <c r="AN224" s="98"/>
      <c r="AO224" s="98"/>
      <c r="AP224" s="98"/>
      <c r="AQ224" s="98"/>
      <c r="AR224" s="98"/>
      <c r="AS224" s="98"/>
      <c r="AT224" s="98"/>
      <c r="AU224" s="98"/>
      <c r="AV224" s="98"/>
      <c r="AW224" s="98"/>
      <c r="AX224" s="98"/>
      <c r="AY224" s="98"/>
      <c r="AZ224" s="98"/>
      <c r="BA224" s="98"/>
      <c r="BB224" s="98"/>
      <c r="BC224" s="98"/>
      <c r="BD224" s="98"/>
      <c r="BE224" s="98"/>
      <c r="BF224" s="98"/>
      <c r="BG224" s="98"/>
      <c r="BH224" s="98"/>
      <c r="BI224" s="98"/>
      <c r="BJ224" s="98"/>
      <c r="BK224" s="98"/>
      <c r="BL224" s="98"/>
      <c r="BM224" s="98"/>
      <c r="BN224" s="98"/>
      <c r="BO224" s="98"/>
      <c r="BP224" s="98"/>
      <c r="BQ224" s="98"/>
      <c r="BR224" s="98"/>
      <c r="BS224" s="98"/>
      <c r="BT224" s="98"/>
      <c r="BU224" s="98"/>
      <c r="BV224" s="98"/>
      <c r="BW224" s="98"/>
      <c r="BX224" s="98"/>
      <c r="BY224" s="98"/>
      <c r="BZ224" s="98"/>
      <c r="CA224" s="98"/>
      <c r="CB224" s="98"/>
      <c r="CC224" s="98"/>
    </row>
    <row r="225" ht="15.75" customHeight="1">
      <c r="A225" s="98"/>
      <c r="B225" s="98"/>
      <c r="C225" s="98"/>
      <c r="D225" s="98"/>
      <c r="E225" s="98"/>
      <c r="F225" s="98"/>
      <c r="G225" s="98"/>
      <c r="H225" s="98"/>
      <c r="I225" s="99"/>
      <c r="J225" s="99"/>
      <c r="K225" s="99"/>
      <c r="L225" s="99"/>
      <c r="M225" s="99"/>
      <c r="N225" s="99"/>
      <c r="O225" s="99"/>
      <c r="P225" s="162"/>
      <c r="Q225" s="163"/>
      <c r="R225" s="163"/>
      <c r="S225" s="163"/>
      <c r="T225" s="164"/>
      <c r="U225" s="163"/>
      <c r="V225" s="163"/>
      <c r="W225" s="164"/>
      <c r="X225" s="98"/>
      <c r="Y225" s="98"/>
      <c r="Z225" s="98"/>
      <c r="AA225" s="98"/>
      <c r="AB225" s="98"/>
      <c r="AC225" s="98"/>
      <c r="AD225" s="98"/>
      <c r="AE225" s="98"/>
      <c r="AF225" s="98"/>
      <c r="AG225" s="98"/>
      <c r="AH225" s="98"/>
      <c r="AI225" s="98"/>
      <c r="AJ225" s="98"/>
      <c r="AK225" s="98"/>
      <c r="AL225" s="98"/>
      <c r="AM225" s="98"/>
      <c r="AN225" s="98"/>
      <c r="AO225" s="98"/>
      <c r="AP225" s="98"/>
      <c r="AQ225" s="98"/>
      <c r="AR225" s="98"/>
      <c r="AS225" s="98"/>
      <c r="AT225" s="98"/>
      <c r="AU225" s="98"/>
      <c r="AV225" s="98"/>
      <c r="AW225" s="98"/>
      <c r="AX225" s="98"/>
      <c r="AY225" s="98"/>
      <c r="AZ225" s="98"/>
      <c r="BA225" s="98"/>
      <c r="BB225" s="98"/>
      <c r="BC225" s="98"/>
      <c r="BD225" s="98"/>
      <c r="BE225" s="98"/>
      <c r="BF225" s="98"/>
      <c r="BG225" s="98"/>
      <c r="BH225" s="98"/>
      <c r="BI225" s="98"/>
      <c r="BJ225" s="98"/>
      <c r="BK225" s="98"/>
      <c r="BL225" s="98"/>
      <c r="BM225" s="98"/>
      <c r="BN225" s="98"/>
      <c r="BO225" s="98"/>
      <c r="BP225" s="98"/>
      <c r="BQ225" s="98"/>
      <c r="BR225" s="98"/>
      <c r="BS225" s="98"/>
      <c r="BT225" s="98"/>
      <c r="BU225" s="98"/>
      <c r="BV225" s="98"/>
      <c r="BW225" s="98"/>
      <c r="BX225" s="98"/>
      <c r="BY225" s="98"/>
      <c r="BZ225" s="98"/>
      <c r="CA225" s="98"/>
      <c r="CB225" s="98"/>
      <c r="CC225" s="98"/>
    </row>
    <row r="226" ht="15.75" customHeight="1">
      <c r="A226" s="98"/>
      <c r="B226" s="98"/>
      <c r="C226" s="98"/>
      <c r="D226" s="98"/>
      <c r="E226" s="98"/>
      <c r="F226" s="98"/>
      <c r="G226" s="98"/>
      <c r="H226" s="98"/>
      <c r="I226" s="99"/>
      <c r="J226" s="99"/>
      <c r="K226" s="99"/>
      <c r="L226" s="99"/>
      <c r="M226" s="99"/>
      <c r="N226" s="99"/>
      <c r="O226" s="99"/>
      <c r="P226" s="162"/>
      <c r="Q226" s="163"/>
      <c r="R226" s="163"/>
      <c r="S226" s="163"/>
      <c r="T226" s="164"/>
      <c r="U226" s="163"/>
      <c r="V226" s="163"/>
      <c r="W226" s="164"/>
      <c r="X226" s="98"/>
      <c r="Y226" s="98"/>
      <c r="Z226" s="98"/>
      <c r="AA226" s="98"/>
      <c r="AB226" s="98"/>
      <c r="AC226" s="98"/>
      <c r="AD226" s="98"/>
      <c r="AE226" s="98"/>
      <c r="AF226" s="98"/>
      <c r="AG226" s="98"/>
      <c r="AH226" s="98"/>
      <c r="AI226" s="98"/>
      <c r="AJ226" s="98"/>
      <c r="AK226" s="98"/>
      <c r="AL226" s="98"/>
      <c r="AM226" s="98"/>
      <c r="AN226" s="98"/>
      <c r="AO226" s="98"/>
      <c r="AP226" s="98"/>
      <c r="AQ226" s="98"/>
      <c r="AR226" s="98"/>
      <c r="AS226" s="98"/>
      <c r="AT226" s="98"/>
      <c r="AU226" s="98"/>
      <c r="AV226" s="98"/>
      <c r="AW226" s="98"/>
      <c r="AX226" s="98"/>
      <c r="AY226" s="98"/>
      <c r="AZ226" s="98"/>
      <c r="BA226" s="98"/>
      <c r="BB226" s="98"/>
      <c r="BC226" s="98"/>
      <c r="BD226" s="98"/>
      <c r="BE226" s="98"/>
      <c r="BF226" s="98"/>
      <c r="BG226" s="98"/>
      <c r="BH226" s="98"/>
      <c r="BI226" s="98"/>
      <c r="BJ226" s="98"/>
      <c r="BK226" s="98"/>
      <c r="BL226" s="98"/>
      <c r="BM226" s="98"/>
      <c r="BN226" s="98"/>
      <c r="BO226" s="98"/>
      <c r="BP226" s="98"/>
      <c r="BQ226" s="98"/>
      <c r="BR226" s="98"/>
      <c r="BS226" s="98"/>
      <c r="BT226" s="98"/>
      <c r="BU226" s="98"/>
      <c r="BV226" s="98"/>
      <c r="BW226" s="98"/>
      <c r="BX226" s="98"/>
      <c r="BY226" s="98"/>
      <c r="BZ226" s="98"/>
      <c r="CA226" s="98"/>
      <c r="CB226" s="98"/>
      <c r="CC226" s="98"/>
    </row>
    <row r="227" ht="15.75" customHeight="1">
      <c r="A227" s="98"/>
      <c r="B227" s="98"/>
      <c r="C227" s="98"/>
      <c r="D227" s="98"/>
      <c r="E227" s="98"/>
      <c r="F227" s="98"/>
      <c r="G227" s="98"/>
      <c r="H227" s="98"/>
      <c r="I227" s="99"/>
      <c r="J227" s="99"/>
      <c r="K227" s="99"/>
      <c r="L227" s="99"/>
      <c r="M227" s="99"/>
      <c r="N227" s="99"/>
      <c r="O227" s="99"/>
      <c r="P227" s="162"/>
      <c r="Q227" s="163"/>
      <c r="R227" s="163"/>
      <c r="S227" s="163"/>
      <c r="T227" s="164"/>
      <c r="U227" s="163"/>
      <c r="V227" s="163"/>
      <c r="W227" s="164"/>
      <c r="X227" s="98"/>
      <c r="Y227" s="98"/>
      <c r="Z227" s="98"/>
      <c r="AA227" s="98"/>
      <c r="AB227" s="98"/>
      <c r="AC227" s="98"/>
      <c r="AD227" s="98"/>
      <c r="AE227" s="98"/>
      <c r="AF227" s="98"/>
      <c r="AG227" s="98"/>
      <c r="AH227" s="98"/>
      <c r="AI227" s="98"/>
      <c r="AJ227" s="98"/>
      <c r="AK227" s="98"/>
      <c r="AL227" s="98"/>
      <c r="AM227" s="98"/>
      <c r="AN227" s="98"/>
      <c r="AO227" s="98"/>
      <c r="AP227" s="98"/>
      <c r="AQ227" s="98"/>
      <c r="AR227" s="98"/>
      <c r="AS227" s="98"/>
      <c r="AT227" s="98"/>
      <c r="AU227" s="98"/>
      <c r="AV227" s="98"/>
      <c r="AW227" s="98"/>
      <c r="AX227" s="98"/>
      <c r="AY227" s="98"/>
      <c r="AZ227" s="98"/>
      <c r="BA227" s="98"/>
      <c r="BB227" s="98"/>
      <c r="BC227" s="98"/>
      <c r="BD227" s="98"/>
      <c r="BE227" s="98"/>
      <c r="BF227" s="98"/>
      <c r="BG227" s="98"/>
      <c r="BH227" s="98"/>
      <c r="BI227" s="98"/>
      <c r="BJ227" s="98"/>
      <c r="BK227" s="98"/>
      <c r="BL227" s="98"/>
      <c r="BM227" s="98"/>
      <c r="BN227" s="98"/>
      <c r="BO227" s="98"/>
      <c r="BP227" s="98"/>
      <c r="BQ227" s="98"/>
      <c r="BR227" s="98"/>
      <c r="BS227" s="98"/>
      <c r="BT227" s="98"/>
      <c r="BU227" s="98"/>
      <c r="BV227" s="98"/>
      <c r="BW227" s="98"/>
      <c r="BX227" s="98"/>
      <c r="BY227" s="98"/>
      <c r="BZ227" s="98"/>
      <c r="CA227" s="98"/>
      <c r="CB227" s="98"/>
      <c r="CC227" s="98"/>
    </row>
    <row r="228" ht="15.75" customHeight="1">
      <c r="A228" s="98"/>
      <c r="B228" s="98"/>
      <c r="C228" s="98"/>
      <c r="D228" s="98"/>
      <c r="E228" s="98"/>
      <c r="F228" s="98"/>
      <c r="G228" s="98"/>
      <c r="H228" s="98"/>
      <c r="I228" s="99"/>
      <c r="J228" s="99"/>
      <c r="K228" s="99"/>
      <c r="L228" s="99"/>
      <c r="M228" s="99"/>
      <c r="N228" s="99"/>
      <c r="O228" s="99"/>
      <c r="P228" s="162"/>
      <c r="Q228" s="163"/>
      <c r="R228" s="163"/>
      <c r="S228" s="163"/>
      <c r="T228" s="164"/>
      <c r="U228" s="163"/>
      <c r="V228" s="163"/>
      <c r="W228" s="164"/>
      <c r="X228" s="98"/>
      <c r="Y228" s="98"/>
      <c r="Z228" s="98"/>
      <c r="AA228" s="98"/>
      <c r="AB228" s="98"/>
      <c r="AC228" s="98"/>
      <c r="AD228" s="98"/>
      <c r="AE228" s="98"/>
      <c r="AF228" s="98"/>
      <c r="AG228" s="98"/>
      <c r="AH228" s="98"/>
      <c r="AI228" s="98"/>
      <c r="AJ228" s="98"/>
      <c r="AK228" s="98"/>
      <c r="AL228" s="98"/>
      <c r="AM228" s="98"/>
      <c r="AN228" s="98"/>
      <c r="AO228" s="98"/>
      <c r="AP228" s="98"/>
      <c r="AQ228" s="98"/>
      <c r="AR228" s="98"/>
      <c r="AS228" s="98"/>
      <c r="AT228" s="98"/>
      <c r="AU228" s="98"/>
      <c r="AV228" s="98"/>
      <c r="AW228" s="98"/>
      <c r="AX228" s="98"/>
      <c r="AY228" s="98"/>
      <c r="AZ228" s="98"/>
      <c r="BA228" s="98"/>
      <c r="BB228" s="98"/>
      <c r="BC228" s="98"/>
      <c r="BD228" s="98"/>
      <c r="BE228" s="98"/>
      <c r="BF228" s="98"/>
      <c r="BG228" s="98"/>
      <c r="BH228" s="98"/>
      <c r="BI228" s="98"/>
      <c r="BJ228" s="98"/>
      <c r="BK228" s="98"/>
      <c r="BL228" s="98"/>
      <c r="BM228" s="98"/>
      <c r="BN228" s="98"/>
      <c r="BO228" s="98"/>
      <c r="BP228" s="98"/>
      <c r="BQ228" s="98"/>
      <c r="BR228" s="98"/>
      <c r="BS228" s="98"/>
      <c r="BT228" s="98"/>
      <c r="BU228" s="98"/>
      <c r="BV228" s="98"/>
      <c r="BW228" s="98"/>
      <c r="BX228" s="98"/>
      <c r="BY228" s="98"/>
      <c r="BZ228" s="98"/>
      <c r="CA228" s="98"/>
      <c r="CB228" s="98"/>
      <c r="CC228" s="98"/>
    </row>
    <row r="229" ht="15.75" customHeight="1">
      <c r="A229" s="98"/>
      <c r="B229" s="98"/>
      <c r="C229" s="98"/>
      <c r="D229" s="98"/>
      <c r="E229" s="98"/>
      <c r="F229" s="98"/>
      <c r="G229" s="98"/>
      <c r="H229" s="98"/>
      <c r="I229" s="99"/>
      <c r="J229" s="99"/>
      <c r="K229" s="99"/>
      <c r="L229" s="99"/>
      <c r="M229" s="99"/>
      <c r="N229" s="99"/>
      <c r="O229" s="99"/>
      <c r="P229" s="162"/>
      <c r="Q229" s="163"/>
      <c r="R229" s="163"/>
      <c r="S229" s="163"/>
      <c r="T229" s="164"/>
      <c r="U229" s="163"/>
      <c r="V229" s="163"/>
      <c r="W229" s="164"/>
      <c r="X229" s="98"/>
      <c r="Y229" s="98"/>
      <c r="Z229" s="98"/>
      <c r="AA229" s="98"/>
      <c r="AB229" s="98"/>
      <c r="AC229" s="98"/>
      <c r="AD229" s="98"/>
      <c r="AE229" s="98"/>
      <c r="AF229" s="98"/>
      <c r="AG229" s="98"/>
      <c r="AH229" s="98"/>
      <c r="AI229" s="98"/>
      <c r="AJ229" s="98"/>
      <c r="AK229" s="98"/>
      <c r="AL229" s="98"/>
      <c r="AM229" s="98"/>
      <c r="AN229" s="98"/>
      <c r="AO229" s="98"/>
      <c r="AP229" s="98"/>
      <c r="AQ229" s="98"/>
      <c r="AR229" s="98"/>
      <c r="AS229" s="98"/>
      <c r="AT229" s="98"/>
      <c r="AU229" s="98"/>
      <c r="AV229" s="98"/>
      <c r="AW229" s="98"/>
      <c r="AX229" s="98"/>
      <c r="AY229" s="98"/>
      <c r="AZ229" s="98"/>
      <c r="BA229" s="98"/>
      <c r="BB229" s="98"/>
      <c r="BC229" s="98"/>
      <c r="BD229" s="98"/>
      <c r="BE229" s="98"/>
      <c r="BF229" s="98"/>
      <c r="BG229" s="98"/>
      <c r="BH229" s="98"/>
      <c r="BI229" s="98"/>
      <c r="BJ229" s="98"/>
      <c r="BK229" s="98"/>
      <c r="BL229" s="98"/>
      <c r="BM229" s="98"/>
      <c r="BN229" s="98"/>
      <c r="BO229" s="98"/>
      <c r="BP229" s="98"/>
      <c r="BQ229" s="98"/>
      <c r="BR229" s="98"/>
      <c r="BS229" s="98"/>
      <c r="BT229" s="98"/>
      <c r="BU229" s="98"/>
      <c r="BV229" s="98"/>
      <c r="BW229" s="98"/>
      <c r="BX229" s="98"/>
      <c r="BY229" s="98"/>
      <c r="BZ229" s="98"/>
      <c r="CA229" s="98"/>
      <c r="CB229" s="98"/>
      <c r="CC229" s="98"/>
    </row>
    <row r="230" ht="15.75" customHeight="1">
      <c r="A230" s="98"/>
      <c r="B230" s="98"/>
      <c r="C230" s="98"/>
      <c r="D230" s="98"/>
      <c r="E230" s="98"/>
      <c r="F230" s="98"/>
      <c r="G230" s="98"/>
      <c r="H230" s="98"/>
      <c r="I230" s="99"/>
      <c r="J230" s="99"/>
      <c r="K230" s="99"/>
      <c r="L230" s="99"/>
      <c r="M230" s="99"/>
      <c r="N230" s="99"/>
      <c r="O230" s="99"/>
      <c r="P230" s="162"/>
      <c r="Q230" s="163"/>
      <c r="R230" s="163"/>
      <c r="S230" s="163"/>
      <c r="T230" s="164"/>
      <c r="U230" s="163"/>
      <c r="V230" s="163"/>
      <c r="W230" s="164"/>
      <c r="X230" s="98"/>
      <c r="Y230" s="98"/>
      <c r="Z230" s="98"/>
      <c r="AA230" s="98"/>
      <c r="AB230" s="98"/>
      <c r="AC230" s="98"/>
      <c r="AD230" s="98"/>
      <c r="AE230" s="98"/>
      <c r="AF230" s="98"/>
      <c r="AG230" s="98"/>
      <c r="AH230" s="98"/>
      <c r="AI230" s="98"/>
      <c r="AJ230" s="98"/>
      <c r="AK230" s="98"/>
      <c r="AL230" s="98"/>
      <c r="AM230" s="98"/>
      <c r="AN230" s="98"/>
      <c r="AO230" s="98"/>
      <c r="AP230" s="98"/>
      <c r="AQ230" s="98"/>
      <c r="AR230" s="98"/>
      <c r="AS230" s="98"/>
      <c r="AT230" s="98"/>
      <c r="AU230" s="98"/>
      <c r="AV230" s="98"/>
      <c r="AW230" s="98"/>
      <c r="AX230" s="98"/>
      <c r="AY230" s="98"/>
      <c r="AZ230" s="98"/>
      <c r="BA230" s="98"/>
      <c r="BB230" s="98"/>
      <c r="BC230" s="98"/>
      <c r="BD230" s="98"/>
      <c r="BE230" s="98"/>
      <c r="BF230" s="98"/>
      <c r="BG230" s="98"/>
      <c r="BH230" s="98"/>
      <c r="BI230" s="98"/>
      <c r="BJ230" s="98"/>
      <c r="BK230" s="98"/>
      <c r="BL230" s="98"/>
      <c r="BM230" s="98"/>
      <c r="BN230" s="98"/>
      <c r="BO230" s="98"/>
      <c r="BP230" s="98"/>
      <c r="BQ230" s="98"/>
      <c r="BR230" s="98"/>
      <c r="BS230" s="98"/>
      <c r="BT230" s="98"/>
      <c r="BU230" s="98"/>
      <c r="BV230" s="98"/>
      <c r="BW230" s="98"/>
      <c r="BX230" s="98"/>
      <c r="BY230" s="98"/>
      <c r="BZ230" s="98"/>
      <c r="CA230" s="98"/>
      <c r="CB230" s="98"/>
      <c r="CC230" s="98"/>
    </row>
    <row r="231" ht="15.75" customHeight="1">
      <c r="A231" s="98"/>
      <c r="B231" s="98"/>
      <c r="C231" s="98"/>
      <c r="D231" s="98"/>
      <c r="E231" s="98"/>
      <c r="F231" s="98"/>
      <c r="G231" s="98"/>
      <c r="H231" s="98"/>
      <c r="I231" s="99"/>
      <c r="J231" s="99"/>
      <c r="K231" s="99"/>
      <c r="L231" s="99"/>
      <c r="M231" s="99"/>
      <c r="N231" s="99"/>
      <c r="O231" s="99"/>
      <c r="P231" s="162"/>
      <c r="Q231" s="163"/>
      <c r="R231" s="163"/>
      <c r="S231" s="163"/>
      <c r="T231" s="164"/>
      <c r="U231" s="163"/>
      <c r="V231" s="163"/>
      <c r="W231" s="164"/>
      <c r="X231" s="98"/>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98"/>
      <c r="AW231" s="98"/>
      <c r="AX231" s="98"/>
      <c r="AY231" s="98"/>
      <c r="AZ231" s="98"/>
      <c r="BA231" s="98"/>
      <c r="BB231" s="98"/>
      <c r="BC231" s="98"/>
      <c r="BD231" s="98"/>
      <c r="BE231" s="98"/>
      <c r="BF231" s="98"/>
      <c r="BG231" s="98"/>
      <c r="BH231" s="98"/>
      <c r="BI231" s="98"/>
      <c r="BJ231" s="98"/>
      <c r="BK231" s="98"/>
      <c r="BL231" s="98"/>
      <c r="BM231" s="98"/>
      <c r="BN231" s="98"/>
      <c r="BO231" s="98"/>
      <c r="BP231" s="98"/>
      <c r="BQ231" s="98"/>
      <c r="BR231" s="98"/>
      <c r="BS231" s="98"/>
      <c r="BT231" s="98"/>
      <c r="BU231" s="98"/>
      <c r="BV231" s="98"/>
      <c r="BW231" s="98"/>
      <c r="BX231" s="98"/>
      <c r="BY231" s="98"/>
      <c r="BZ231" s="98"/>
      <c r="CA231" s="98"/>
      <c r="CB231" s="98"/>
      <c r="CC231" s="98"/>
    </row>
    <row r="232" ht="15.75" customHeight="1">
      <c r="A232" s="98"/>
      <c r="B232" s="98"/>
      <c r="C232" s="98"/>
      <c r="D232" s="98"/>
      <c r="E232" s="98"/>
      <c r="F232" s="98"/>
      <c r="G232" s="98"/>
      <c r="H232" s="98"/>
      <c r="I232" s="99"/>
      <c r="J232" s="99"/>
      <c r="K232" s="99"/>
      <c r="L232" s="99"/>
      <c r="M232" s="99"/>
      <c r="N232" s="99"/>
      <c r="O232" s="99"/>
      <c r="P232" s="162"/>
      <c r="Q232" s="163"/>
      <c r="R232" s="163"/>
      <c r="S232" s="163"/>
      <c r="T232" s="164"/>
      <c r="U232" s="163"/>
      <c r="V232" s="163"/>
      <c r="W232" s="164"/>
      <c r="X232" s="98"/>
      <c r="Y232" s="98"/>
      <c r="Z232" s="98"/>
      <c r="AA232" s="98"/>
      <c r="AB232" s="98"/>
      <c r="AC232" s="98"/>
      <c r="AD232" s="98"/>
      <c r="AE232" s="98"/>
      <c r="AF232" s="98"/>
      <c r="AG232" s="98"/>
      <c r="AH232" s="98"/>
      <c r="AI232" s="98"/>
      <c r="AJ232" s="98"/>
      <c r="AK232" s="98"/>
      <c r="AL232" s="98"/>
      <c r="AM232" s="98"/>
      <c r="AN232" s="98"/>
      <c r="AO232" s="98"/>
      <c r="AP232" s="98"/>
      <c r="AQ232" s="98"/>
      <c r="AR232" s="98"/>
      <c r="AS232" s="98"/>
      <c r="AT232" s="98"/>
      <c r="AU232" s="98"/>
      <c r="AV232" s="98"/>
      <c r="AW232" s="98"/>
      <c r="AX232" s="98"/>
      <c r="AY232" s="98"/>
      <c r="AZ232" s="98"/>
      <c r="BA232" s="98"/>
      <c r="BB232" s="98"/>
      <c r="BC232" s="98"/>
      <c r="BD232" s="98"/>
      <c r="BE232" s="98"/>
      <c r="BF232" s="98"/>
      <c r="BG232" s="98"/>
      <c r="BH232" s="98"/>
      <c r="BI232" s="98"/>
      <c r="BJ232" s="98"/>
      <c r="BK232" s="98"/>
      <c r="BL232" s="98"/>
      <c r="BM232" s="98"/>
      <c r="BN232" s="98"/>
      <c r="BO232" s="98"/>
      <c r="BP232" s="98"/>
      <c r="BQ232" s="98"/>
      <c r="BR232" s="98"/>
      <c r="BS232" s="98"/>
      <c r="BT232" s="98"/>
      <c r="BU232" s="98"/>
      <c r="BV232" s="98"/>
      <c r="BW232" s="98"/>
      <c r="BX232" s="98"/>
      <c r="BY232" s="98"/>
      <c r="BZ232" s="98"/>
      <c r="CA232" s="98"/>
      <c r="CB232" s="98"/>
      <c r="CC232" s="98"/>
    </row>
    <row r="233" ht="15.75" customHeight="1">
      <c r="A233" s="98"/>
      <c r="B233" s="98"/>
      <c r="C233" s="98"/>
      <c r="D233" s="98"/>
      <c r="E233" s="98"/>
      <c r="F233" s="98"/>
      <c r="G233" s="98"/>
      <c r="H233" s="98"/>
      <c r="I233" s="99"/>
      <c r="J233" s="99"/>
      <c r="K233" s="99"/>
      <c r="L233" s="99"/>
      <c r="M233" s="99"/>
      <c r="N233" s="99"/>
      <c r="O233" s="99"/>
      <c r="P233" s="162"/>
      <c r="Q233" s="163"/>
      <c r="R233" s="163"/>
      <c r="S233" s="163"/>
      <c r="T233" s="164"/>
      <c r="U233" s="163"/>
      <c r="V233" s="163"/>
      <c r="W233" s="164"/>
      <c r="X233" s="98"/>
      <c r="Y233" s="98"/>
      <c r="Z233" s="98"/>
      <c r="AA233" s="98"/>
      <c r="AB233" s="98"/>
      <c r="AC233" s="98"/>
      <c r="AD233" s="98"/>
      <c r="AE233" s="98"/>
      <c r="AF233" s="98"/>
      <c r="AG233" s="98"/>
      <c r="AH233" s="98"/>
      <c r="AI233" s="98"/>
      <c r="AJ233" s="98"/>
      <c r="AK233" s="98"/>
      <c r="AL233" s="98"/>
      <c r="AM233" s="98"/>
      <c r="AN233" s="98"/>
      <c r="AO233" s="98"/>
      <c r="AP233" s="98"/>
      <c r="AQ233" s="98"/>
      <c r="AR233" s="98"/>
      <c r="AS233" s="98"/>
      <c r="AT233" s="98"/>
      <c r="AU233" s="98"/>
      <c r="AV233" s="98"/>
      <c r="AW233" s="98"/>
      <c r="AX233" s="98"/>
      <c r="AY233" s="98"/>
      <c r="AZ233" s="98"/>
      <c r="BA233" s="98"/>
      <c r="BB233" s="98"/>
      <c r="BC233" s="98"/>
      <c r="BD233" s="98"/>
      <c r="BE233" s="98"/>
      <c r="BF233" s="98"/>
      <c r="BG233" s="98"/>
      <c r="BH233" s="98"/>
      <c r="BI233" s="98"/>
      <c r="BJ233" s="98"/>
      <c r="BK233" s="98"/>
      <c r="BL233" s="98"/>
      <c r="BM233" s="98"/>
      <c r="BN233" s="98"/>
      <c r="BO233" s="98"/>
      <c r="BP233" s="98"/>
      <c r="BQ233" s="98"/>
      <c r="BR233" s="98"/>
      <c r="BS233" s="98"/>
      <c r="BT233" s="98"/>
      <c r="BU233" s="98"/>
      <c r="BV233" s="98"/>
      <c r="BW233" s="98"/>
      <c r="BX233" s="98"/>
      <c r="BY233" s="98"/>
      <c r="BZ233" s="98"/>
      <c r="CA233" s="98"/>
      <c r="CB233" s="98"/>
      <c r="CC233" s="98"/>
    </row>
    <row r="234" ht="15.75" customHeight="1">
      <c r="A234" s="98"/>
      <c r="B234" s="98"/>
      <c r="C234" s="98"/>
      <c r="D234" s="98"/>
      <c r="E234" s="98"/>
      <c r="F234" s="98"/>
      <c r="G234" s="98"/>
      <c r="H234" s="98"/>
      <c r="I234" s="99"/>
      <c r="J234" s="99"/>
      <c r="K234" s="99"/>
      <c r="L234" s="99"/>
      <c r="M234" s="99"/>
      <c r="N234" s="99"/>
      <c r="O234" s="99"/>
      <c r="P234" s="162"/>
      <c r="Q234" s="163"/>
      <c r="R234" s="163"/>
      <c r="S234" s="163"/>
      <c r="T234" s="164"/>
      <c r="U234" s="163"/>
      <c r="V234" s="163"/>
      <c r="W234" s="164"/>
      <c r="X234" s="98"/>
      <c r="Y234" s="98"/>
      <c r="Z234" s="98"/>
      <c r="AA234" s="98"/>
      <c r="AB234" s="98"/>
      <c r="AC234" s="98"/>
      <c r="AD234" s="98"/>
      <c r="AE234" s="98"/>
      <c r="AF234" s="98"/>
      <c r="AG234" s="98"/>
      <c r="AH234" s="98"/>
      <c r="AI234" s="98"/>
      <c r="AJ234" s="98"/>
      <c r="AK234" s="98"/>
      <c r="AL234" s="98"/>
      <c r="AM234" s="98"/>
      <c r="AN234" s="98"/>
      <c r="AO234" s="98"/>
      <c r="AP234" s="98"/>
      <c r="AQ234" s="98"/>
      <c r="AR234" s="98"/>
      <c r="AS234" s="98"/>
      <c r="AT234" s="98"/>
      <c r="AU234" s="98"/>
      <c r="AV234" s="98"/>
      <c r="AW234" s="98"/>
      <c r="AX234" s="98"/>
      <c r="AY234" s="98"/>
      <c r="AZ234" s="98"/>
      <c r="BA234" s="98"/>
      <c r="BB234" s="98"/>
      <c r="BC234" s="98"/>
      <c r="BD234" s="98"/>
      <c r="BE234" s="98"/>
      <c r="BF234" s="98"/>
      <c r="BG234" s="98"/>
      <c r="BH234" s="98"/>
      <c r="BI234" s="98"/>
      <c r="BJ234" s="98"/>
      <c r="BK234" s="98"/>
      <c r="BL234" s="98"/>
      <c r="BM234" s="98"/>
      <c r="BN234" s="98"/>
      <c r="BO234" s="98"/>
      <c r="BP234" s="98"/>
      <c r="BQ234" s="98"/>
      <c r="BR234" s="98"/>
      <c r="BS234" s="98"/>
      <c r="BT234" s="98"/>
      <c r="BU234" s="98"/>
      <c r="BV234" s="98"/>
      <c r="BW234" s="98"/>
      <c r="BX234" s="98"/>
      <c r="BY234" s="98"/>
      <c r="BZ234" s="98"/>
      <c r="CA234" s="98"/>
      <c r="CB234" s="98"/>
      <c r="CC234" s="98"/>
    </row>
    <row r="235" ht="15.75" customHeight="1">
      <c r="A235" s="98"/>
      <c r="B235" s="98"/>
      <c r="C235" s="98"/>
      <c r="D235" s="98"/>
      <c r="E235" s="98"/>
      <c r="F235" s="98"/>
      <c r="G235" s="98"/>
      <c r="H235" s="98"/>
      <c r="I235" s="99"/>
      <c r="J235" s="99"/>
      <c r="K235" s="99"/>
      <c r="L235" s="99"/>
      <c r="M235" s="99"/>
      <c r="N235" s="99"/>
      <c r="O235" s="99"/>
      <c r="P235" s="162"/>
      <c r="Q235" s="163"/>
      <c r="R235" s="163"/>
      <c r="S235" s="163"/>
      <c r="T235" s="164"/>
      <c r="U235" s="163"/>
      <c r="V235" s="163"/>
      <c r="W235" s="164"/>
      <c r="X235" s="98"/>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98"/>
      <c r="AW235" s="98"/>
      <c r="AX235" s="98"/>
      <c r="AY235" s="98"/>
      <c r="AZ235" s="98"/>
      <c r="BA235" s="98"/>
      <c r="BB235" s="98"/>
      <c r="BC235" s="98"/>
      <c r="BD235" s="98"/>
      <c r="BE235" s="98"/>
      <c r="BF235" s="98"/>
      <c r="BG235" s="98"/>
      <c r="BH235" s="98"/>
      <c r="BI235" s="98"/>
      <c r="BJ235" s="98"/>
      <c r="BK235" s="98"/>
      <c r="BL235" s="98"/>
      <c r="BM235" s="98"/>
      <c r="BN235" s="98"/>
      <c r="BO235" s="98"/>
      <c r="BP235" s="98"/>
      <c r="BQ235" s="98"/>
      <c r="BR235" s="98"/>
      <c r="BS235" s="98"/>
      <c r="BT235" s="98"/>
      <c r="BU235" s="98"/>
      <c r="BV235" s="98"/>
      <c r="BW235" s="98"/>
      <c r="BX235" s="98"/>
      <c r="BY235" s="98"/>
      <c r="BZ235" s="98"/>
      <c r="CA235" s="98"/>
      <c r="CB235" s="98"/>
      <c r="CC235" s="98"/>
    </row>
    <row r="236" ht="15.75" customHeight="1">
      <c r="A236" s="98"/>
      <c r="B236" s="98"/>
      <c r="C236" s="98"/>
      <c r="D236" s="98"/>
      <c r="E236" s="98"/>
      <c r="F236" s="98"/>
      <c r="G236" s="98"/>
      <c r="H236" s="98"/>
      <c r="I236" s="99"/>
      <c r="J236" s="99"/>
      <c r="K236" s="99"/>
      <c r="L236" s="99"/>
      <c r="M236" s="99"/>
      <c r="N236" s="99"/>
      <c r="O236" s="99"/>
      <c r="P236" s="162"/>
      <c r="Q236" s="163"/>
      <c r="R236" s="163"/>
      <c r="S236" s="163"/>
      <c r="T236" s="164"/>
      <c r="U236" s="163"/>
      <c r="V236" s="163"/>
      <c r="W236" s="164"/>
      <c r="X236" s="98"/>
      <c r="Y236" s="98"/>
      <c r="Z236" s="98"/>
      <c r="AA236" s="98"/>
      <c r="AB236" s="98"/>
      <c r="AC236" s="98"/>
      <c r="AD236" s="98"/>
      <c r="AE236" s="98"/>
      <c r="AF236" s="98"/>
      <c r="AG236" s="98"/>
      <c r="AH236" s="98"/>
      <c r="AI236" s="98"/>
      <c r="AJ236" s="98"/>
      <c r="AK236" s="98"/>
      <c r="AL236" s="98"/>
      <c r="AM236" s="98"/>
      <c r="AN236" s="98"/>
      <c r="AO236" s="98"/>
      <c r="AP236" s="98"/>
      <c r="AQ236" s="98"/>
      <c r="AR236" s="98"/>
      <c r="AS236" s="98"/>
      <c r="AT236" s="98"/>
      <c r="AU236" s="98"/>
      <c r="AV236" s="98"/>
      <c r="AW236" s="98"/>
      <c r="AX236" s="98"/>
      <c r="AY236" s="98"/>
      <c r="AZ236" s="98"/>
      <c r="BA236" s="98"/>
      <c r="BB236" s="98"/>
      <c r="BC236" s="98"/>
      <c r="BD236" s="98"/>
      <c r="BE236" s="98"/>
      <c r="BF236" s="98"/>
      <c r="BG236" s="98"/>
      <c r="BH236" s="98"/>
      <c r="BI236" s="98"/>
      <c r="BJ236" s="98"/>
      <c r="BK236" s="98"/>
      <c r="BL236" s="98"/>
      <c r="BM236" s="98"/>
      <c r="BN236" s="98"/>
      <c r="BO236" s="98"/>
      <c r="BP236" s="98"/>
      <c r="BQ236" s="98"/>
      <c r="BR236" s="98"/>
      <c r="BS236" s="98"/>
      <c r="BT236" s="98"/>
      <c r="BU236" s="98"/>
      <c r="BV236" s="98"/>
      <c r="BW236" s="98"/>
      <c r="BX236" s="98"/>
      <c r="BY236" s="98"/>
      <c r="BZ236" s="98"/>
      <c r="CA236" s="98"/>
      <c r="CB236" s="98"/>
      <c r="CC236" s="98"/>
    </row>
    <row r="237" ht="15.75" customHeight="1">
      <c r="A237" s="98"/>
      <c r="B237" s="98"/>
      <c r="C237" s="98"/>
      <c r="D237" s="98"/>
      <c r="E237" s="98"/>
      <c r="F237" s="98"/>
      <c r="G237" s="98"/>
      <c r="H237" s="98"/>
      <c r="I237" s="99"/>
      <c r="J237" s="99"/>
      <c r="K237" s="99"/>
      <c r="L237" s="99"/>
      <c r="M237" s="99"/>
      <c r="N237" s="99"/>
      <c r="O237" s="99"/>
      <c r="P237" s="162"/>
      <c r="Q237" s="163"/>
      <c r="R237" s="163"/>
      <c r="S237" s="163"/>
      <c r="T237" s="164"/>
      <c r="U237" s="163"/>
      <c r="V237" s="163"/>
      <c r="W237" s="164"/>
      <c r="X237" s="98"/>
      <c r="Y237" s="98"/>
      <c r="Z237" s="98"/>
      <c r="AA237" s="98"/>
      <c r="AB237" s="98"/>
      <c r="AC237" s="98"/>
      <c r="AD237" s="98"/>
      <c r="AE237" s="98"/>
      <c r="AF237" s="98"/>
      <c r="AG237" s="98"/>
      <c r="AH237" s="98"/>
      <c r="AI237" s="98"/>
      <c r="AJ237" s="98"/>
      <c r="AK237" s="98"/>
      <c r="AL237" s="98"/>
      <c r="AM237" s="98"/>
      <c r="AN237" s="98"/>
      <c r="AO237" s="98"/>
      <c r="AP237" s="98"/>
      <c r="AQ237" s="98"/>
      <c r="AR237" s="98"/>
      <c r="AS237" s="98"/>
      <c r="AT237" s="98"/>
      <c r="AU237" s="98"/>
      <c r="AV237" s="98"/>
      <c r="AW237" s="98"/>
      <c r="AX237" s="98"/>
      <c r="AY237" s="98"/>
      <c r="AZ237" s="98"/>
      <c r="BA237" s="98"/>
      <c r="BB237" s="98"/>
      <c r="BC237" s="98"/>
      <c r="BD237" s="98"/>
      <c r="BE237" s="98"/>
      <c r="BF237" s="98"/>
      <c r="BG237" s="98"/>
      <c r="BH237" s="98"/>
      <c r="BI237" s="98"/>
      <c r="BJ237" s="98"/>
      <c r="BK237" s="98"/>
      <c r="BL237" s="98"/>
      <c r="BM237" s="98"/>
      <c r="BN237" s="98"/>
      <c r="BO237" s="98"/>
      <c r="BP237" s="98"/>
      <c r="BQ237" s="98"/>
      <c r="BR237" s="98"/>
      <c r="BS237" s="98"/>
      <c r="BT237" s="98"/>
      <c r="BU237" s="98"/>
      <c r="BV237" s="98"/>
      <c r="BW237" s="98"/>
      <c r="BX237" s="98"/>
      <c r="BY237" s="98"/>
      <c r="BZ237" s="98"/>
      <c r="CA237" s="98"/>
      <c r="CB237" s="98"/>
      <c r="CC237" s="98"/>
    </row>
    <row r="238" ht="15.75" customHeight="1">
      <c r="A238" s="98"/>
      <c r="B238" s="98"/>
      <c r="C238" s="98"/>
      <c r="D238" s="98"/>
      <c r="E238" s="98"/>
      <c r="F238" s="98"/>
      <c r="G238" s="98"/>
      <c r="H238" s="98"/>
      <c r="I238" s="99"/>
      <c r="J238" s="99"/>
      <c r="K238" s="99"/>
      <c r="L238" s="99"/>
      <c r="M238" s="99"/>
      <c r="N238" s="99"/>
      <c r="O238" s="99"/>
      <c r="P238" s="162"/>
      <c r="Q238" s="163"/>
      <c r="R238" s="163"/>
      <c r="S238" s="163"/>
      <c r="T238" s="164"/>
      <c r="U238" s="163"/>
      <c r="V238" s="163"/>
      <c r="W238" s="164"/>
      <c r="X238" s="98"/>
      <c r="Y238" s="98"/>
      <c r="Z238" s="98"/>
      <c r="AA238" s="98"/>
      <c r="AB238" s="98"/>
      <c r="AC238" s="98"/>
      <c r="AD238" s="98"/>
      <c r="AE238" s="98"/>
      <c r="AF238" s="98"/>
      <c r="AG238" s="98"/>
      <c r="AH238" s="98"/>
      <c r="AI238" s="98"/>
      <c r="AJ238" s="98"/>
      <c r="AK238" s="98"/>
      <c r="AL238" s="98"/>
      <c r="AM238" s="98"/>
      <c r="AN238" s="98"/>
      <c r="AO238" s="98"/>
      <c r="AP238" s="98"/>
      <c r="AQ238" s="98"/>
      <c r="AR238" s="98"/>
      <c r="AS238" s="98"/>
      <c r="AT238" s="98"/>
      <c r="AU238" s="98"/>
      <c r="AV238" s="98"/>
      <c r="AW238" s="98"/>
      <c r="AX238" s="98"/>
      <c r="AY238" s="98"/>
      <c r="AZ238" s="98"/>
      <c r="BA238" s="98"/>
      <c r="BB238" s="98"/>
      <c r="BC238" s="98"/>
      <c r="BD238" s="98"/>
      <c r="BE238" s="98"/>
      <c r="BF238" s="98"/>
      <c r="BG238" s="98"/>
      <c r="BH238" s="98"/>
      <c r="BI238" s="98"/>
      <c r="BJ238" s="98"/>
      <c r="BK238" s="98"/>
      <c r="BL238" s="98"/>
      <c r="BM238" s="98"/>
      <c r="BN238" s="98"/>
      <c r="BO238" s="98"/>
      <c r="BP238" s="98"/>
      <c r="BQ238" s="98"/>
      <c r="BR238" s="98"/>
      <c r="BS238" s="98"/>
      <c r="BT238" s="98"/>
      <c r="BU238" s="98"/>
      <c r="BV238" s="98"/>
      <c r="BW238" s="98"/>
      <c r="BX238" s="98"/>
      <c r="BY238" s="98"/>
      <c r="BZ238" s="98"/>
      <c r="CA238" s="98"/>
      <c r="CB238" s="98"/>
      <c r="CC238" s="98"/>
    </row>
    <row r="239" ht="15.75" customHeight="1">
      <c r="A239" s="98"/>
      <c r="B239" s="98"/>
      <c r="C239" s="98"/>
      <c r="D239" s="98"/>
      <c r="E239" s="98"/>
      <c r="F239" s="98"/>
      <c r="G239" s="98"/>
      <c r="H239" s="98"/>
      <c r="I239" s="99"/>
      <c r="J239" s="99"/>
      <c r="K239" s="99"/>
      <c r="L239" s="99"/>
      <c r="M239" s="99"/>
      <c r="N239" s="99"/>
      <c r="O239" s="99"/>
      <c r="P239" s="162"/>
      <c r="Q239" s="163"/>
      <c r="R239" s="163"/>
      <c r="S239" s="163"/>
      <c r="T239" s="164"/>
      <c r="U239" s="163"/>
      <c r="V239" s="163"/>
      <c r="W239" s="164"/>
      <c r="X239" s="98"/>
      <c r="Y239" s="98"/>
      <c r="Z239" s="98"/>
      <c r="AA239" s="98"/>
      <c r="AB239" s="98"/>
      <c r="AC239" s="98"/>
      <c r="AD239" s="98"/>
      <c r="AE239" s="98"/>
      <c r="AF239" s="98"/>
      <c r="AG239" s="98"/>
      <c r="AH239" s="98"/>
      <c r="AI239" s="98"/>
      <c r="AJ239" s="98"/>
      <c r="AK239" s="98"/>
      <c r="AL239" s="98"/>
      <c r="AM239" s="98"/>
      <c r="AN239" s="98"/>
      <c r="AO239" s="98"/>
      <c r="AP239" s="98"/>
      <c r="AQ239" s="98"/>
      <c r="AR239" s="98"/>
      <c r="AS239" s="98"/>
      <c r="AT239" s="98"/>
      <c r="AU239" s="98"/>
      <c r="AV239" s="98"/>
      <c r="AW239" s="98"/>
      <c r="AX239" s="98"/>
      <c r="AY239" s="98"/>
      <c r="AZ239" s="98"/>
      <c r="BA239" s="98"/>
      <c r="BB239" s="98"/>
      <c r="BC239" s="98"/>
      <c r="BD239" s="98"/>
      <c r="BE239" s="98"/>
      <c r="BF239" s="98"/>
      <c r="BG239" s="98"/>
      <c r="BH239" s="98"/>
      <c r="BI239" s="98"/>
      <c r="BJ239" s="98"/>
      <c r="BK239" s="98"/>
      <c r="BL239" s="98"/>
      <c r="BM239" s="98"/>
      <c r="BN239" s="98"/>
      <c r="BO239" s="98"/>
      <c r="BP239" s="98"/>
      <c r="BQ239" s="98"/>
      <c r="BR239" s="98"/>
      <c r="BS239" s="98"/>
      <c r="BT239" s="98"/>
      <c r="BU239" s="98"/>
      <c r="BV239" s="98"/>
      <c r="BW239" s="98"/>
      <c r="BX239" s="98"/>
      <c r="BY239" s="98"/>
      <c r="BZ239" s="98"/>
      <c r="CA239" s="98"/>
      <c r="CB239" s="98"/>
      <c r="CC239" s="98"/>
    </row>
    <row r="240" ht="15.75" customHeight="1">
      <c r="A240" s="98"/>
      <c r="B240" s="98"/>
      <c r="C240" s="98"/>
      <c r="D240" s="98"/>
      <c r="E240" s="98"/>
      <c r="F240" s="98"/>
      <c r="G240" s="98"/>
      <c r="H240" s="98"/>
      <c r="I240" s="99"/>
      <c r="J240" s="99"/>
      <c r="K240" s="99"/>
      <c r="L240" s="99"/>
      <c r="M240" s="99"/>
      <c r="N240" s="99"/>
      <c r="O240" s="99"/>
      <c r="P240" s="162"/>
      <c r="Q240" s="163"/>
      <c r="R240" s="163"/>
      <c r="S240" s="163"/>
      <c r="T240" s="164"/>
      <c r="U240" s="163"/>
      <c r="V240" s="163"/>
      <c r="W240" s="164"/>
      <c r="X240" s="98"/>
      <c r="Y240" s="98"/>
      <c r="Z240" s="98"/>
      <c r="AA240" s="98"/>
      <c r="AB240" s="98"/>
      <c r="AC240" s="98"/>
      <c r="AD240" s="98"/>
      <c r="AE240" s="98"/>
      <c r="AF240" s="98"/>
      <c r="AG240" s="98"/>
      <c r="AH240" s="98"/>
      <c r="AI240" s="98"/>
      <c r="AJ240" s="98"/>
      <c r="AK240" s="98"/>
      <c r="AL240" s="98"/>
      <c r="AM240" s="98"/>
      <c r="AN240" s="98"/>
      <c r="AO240" s="98"/>
      <c r="AP240" s="98"/>
      <c r="AQ240" s="98"/>
      <c r="AR240" s="98"/>
      <c r="AS240" s="98"/>
      <c r="AT240" s="98"/>
      <c r="AU240" s="98"/>
      <c r="AV240" s="98"/>
      <c r="AW240" s="98"/>
      <c r="AX240" s="98"/>
      <c r="AY240" s="98"/>
      <c r="AZ240" s="98"/>
      <c r="BA240" s="98"/>
      <c r="BB240" s="98"/>
      <c r="BC240" s="98"/>
      <c r="BD240" s="98"/>
      <c r="BE240" s="98"/>
      <c r="BF240" s="98"/>
      <c r="BG240" s="98"/>
      <c r="BH240" s="98"/>
      <c r="BI240" s="98"/>
      <c r="BJ240" s="98"/>
      <c r="BK240" s="98"/>
      <c r="BL240" s="98"/>
      <c r="BM240" s="98"/>
      <c r="BN240" s="98"/>
      <c r="BO240" s="98"/>
      <c r="BP240" s="98"/>
      <c r="BQ240" s="98"/>
      <c r="BR240" s="98"/>
      <c r="BS240" s="98"/>
      <c r="BT240" s="98"/>
      <c r="BU240" s="98"/>
      <c r="BV240" s="98"/>
      <c r="BW240" s="98"/>
      <c r="BX240" s="98"/>
      <c r="BY240" s="98"/>
      <c r="BZ240" s="98"/>
      <c r="CA240" s="98"/>
      <c r="CB240" s="98"/>
      <c r="CC240" s="98"/>
    </row>
    <row r="241" ht="15.75" customHeight="1">
      <c r="A241" s="98"/>
      <c r="B241" s="98"/>
      <c r="C241" s="98"/>
      <c r="D241" s="98"/>
      <c r="E241" s="98"/>
      <c r="F241" s="98"/>
      <c r="G241" s="98"/>
      <c r="H241" s="98"/>
      <c r="I241" s="99"/>
      <c r="J241" s="99"/>
      <c r="K241" s="99"/>
      <c r="L241" s="99"/>
      <c r="M241" s="99"/>
      <c r="N241" s="99"/>
      <c r="O241" s="99"/>
      <c r="P241" s="162"/>
      <c r="Q241" s="163"/>
      <c r="R241" s="163"/>
      <c r="S241" s="163"/>
      <c r="T241" s="164"/>
      <c r="U241" s="163"/>
      <c r="V241" s="163"/>
      <c r="W241" s="164"/>
      <c r="X241" s="98"/>
      <c r="Y241" s="98"/>
      <c r="Z241" s="98"/>
      <c r="AA241" s="98"/>
      <c r="AB241" s="98"/>
      <c r="AC241" s="98"/>
      <c r="AD241" s="98"/>
      <c r="AE241" s="98"/>
      <c r="AF241" s="98"/>
      <c r="AG241" s="98"/>
      <c r="AH241" s="98"/>
      <c r="AI241" s="98"/>
      <c r="AJ241" s="98"/>
      <c r="AK241" s="98"/>
      <c r="AL241" s="98"/>
      <c r="AM241" s="98"/>
      <c r="AN241" s="98"/>
      <c r="AO241" s="98"/>
      <c r="AP241" s="98"/>
      <c r="AQ241" s="98"/>
      <c r="AR241" s="98"/>
      <c r="AS241" s="98"/>
      <c r="AT241" s="98"/>
      <c r="AU241" s="98"/>
      <c r="AV241" s="98"/>
      <c r="AW241" s="98"/>
      <c r="AX241" s="98"/>
      <c r="AY241" s="98"/>
      <c r="AZ241" s="98"/>
      <c r="BA241" s="98"/>
      <c r="BB241" s="98"/>
      <c r="BC241" s="98"/>
      <c r="BD241" s="98"/>
      <c r="BE241" s="98"/>
      <c r="BF241" s="98"/>
      <c r="BG241" s="98"/>
      <c r="BH241" s="98"/>
      <c r="BI241" s="98"/>
      <c r="BJ241" s="98"/>
      <c r="BK241" s="98"/>
      <c r="BL241" s="98"/>
      <c r="BM241" s="98"/>
      <c r="BN241" s="98"/>
      <c r="BO241" s="98"/>
      <c r="BP241" s="98"/>
      <c r="BQ241" s="98"/>
      <c r="BR241" s="98"/>
      <c r="BS241" s="98"/>
      <c r="BT241" s="98"/>
      <c r="BU241" s="98"/>
      <c r="BV241" s="98"/>
      <c r="BW241" s="98"/>
      <c r="BX241" s="98"/>
      <c r="BY241" s="98"/>
      <c r="BZ241" s="98"/>
      <c r="CA241" s="98"/>
      <c r="CB241" s="98"/>
      <c r="CC241" s="98"/>
    </row>
    <row r="242" ht="15.75" customHeight="1">
      <c r="A242" s="98"/>
      <c r="B242" s="98"/>
      <c r="C242" s="98"/>
      <c r="D242" s="98"/>
      <c r="E242" s="98"/>
      <c r="F242" s="98"/>
      <c r="G242" s="98"/>
      <c r="H242" s="98"/>
      <c r="I242" s="99"/>
      <c r="J242" s="99"/>
      <c r="K242" s="99"/>
      <c r="L242" s="99"/>
      <c r="M242" s="99"/>
      <c r="N242" s="99"/>
      <c r="O242" s="99"/>
      <c r="P242" s="162"/>
      <c r="Q242" s="163"/>
      <c r="R242" s="163"/>
      <c r="S242" s="163"/>
      <c r="T242" s="164"/>
      <c r="U242" s="163"/>
      <c r="V242" s="163"/>
      <c r="W242" s="164"/>
      <c r="X242" s="98"/>
      <c r="Y242" s="98"/>
      <c r="Z242" s="98"/>
      <c r="AA242" s="98"/>
      <c r="AB242" s="98"/>
      <c r="AC242" s="98"/>
      <c r="AD242" s="98"/>
      <c r="AE242" s="98"/>
      <c r="AF242" s="98"/>
      <c r="AG242" s="98"/>
      <c r="AH242" s="98"/>
      <c r="AI242" s="98"/>
      <c r="AJ242" s="98"/>
      <c r="AK242" s="98"/>
      <c r="AL242" s="98"/>
      <c r="AM242" s="98"/>
      <c r="AN242" s="98"/>
      <c r="AO242" s="98"/>
      <c r="AP242" s="98"/>
      <c r="AQ242" s="98"/>
      <c r="AR242" s="98"/>
      <c r="AS242" s="98"/>
      <c r="AT242" s="98"/>
      <c r="AU242" s="98"/>
      <c r="AV242" s="98"/>
      <c r="AW242" s="98"/>
      <c r="AX242" s="98"/>
      <c r="AY242" s="98"/>
      <c r="AZ242" s="98"/>
      <c r="BA242" s="98"/>
      <c r="BB242" s="98"/>
      <c r="BC242" s="98"/>
      <c r="BD242" s="98"/>
      <c r="BE242" s="98"/>
      <c r="BF242" s="98"/>
      <c r="BG242" s="98"/>
      <c r="BH242" s="98"/>
      <c r="BI242" s="98"/>
      <c r="BJ242" s="98"/>
      <c r="BK242" s="98"/>
      <c r="BL242" s="98"/>
      <c r="BM242" s="98"/>
      <c r="BN242" s="98"/>
      <c r="BO242" s="98"/>
      <c r="BP242" s="98"/>
      <c r="BQ242" s="98"/>
      <c r="BR242" s="98"/>
      <c r="BS242" s="98"/>
      <c r="BT242" s="98"/>
      <c r="BU242" s="98"/>
      <c r="BV242" s="98"/>
      <c r="BW242" s="98"/>
      <c r="BX242" s="98"/>
      <c r="BY242" s="98"/>
      <c r="BZ242" s="98"/>
      <c r="CA242" s="98"/>
      <c r="CB242" s="98"/>
      <c r="CC242" s="98"/>
    </row>
    <row r="243" ht="15.75" customHeight="1">
      <c r="A243" s="98"/>
      <c r="B243" s="98"/>
      <c r="C243" s="98"/>
      <c r="D243" s="98"/>
      <c r="E243" s="98"/>
      <c r="F243" s="98"/>
      <c r="G243" s="98"/>
      <c r="H243" s="98"/>
      <c r="I243" s="99"/>
      <c r="J243" s="99"/>
      <c r="K243" s="99"/>
      <c r="L243" s="99"/>
      <c r="M243" s="99"/>
      <c r="N243" s="99"/>
      <c r="O243" s="99"/>
      <c r="P243" s="162"/>
      <c r="Q243" s="163"/>
      <c r="R243" s="163"/>
      <c r="S243" s="163"/>
      <c r="T243" s="164"/>
      <c r="U243" s="163"/>
      <c r="V243" s="163"/>
      <c r="W243" s="164"/>
      <c r="X243" s="98"/>
      <c r="Y243" s="98"/>
      <c r="Z243" s="98"/>
      <c r="AA243" s="98"/>
      <c r="AB243" s="98"/>
      <c r="AC243" s="98"/>
      <c r="AD243" s="98"/>
      <c r="AE243" s="98"/>
      <c r="AF243" s="98"/>
      <c r="AG243" s="98"/>
      <c r="AH243" s="98"/>
      <c r="AI243" s="98"/>
      <c r="AJ243" s="98"/>
      <c r="AK243" s="98"/>
      <c r="AL243" s="98"/>
      <c r="AM243" s="98"/>
      <c r="AN243" s="98"/>
      <c r="AO243" s="98"/>
      <c r="AP243" s="98"/>
      <c r="AQ243" s="98"/>
      <c r="AR243" s="98"/>
      <c r="AS243" s="98"/>
      <c r="AT243" s="98"/>
      <c r="AU243" s="98"/>
      <c r="AV243" s="98"/>
      <c r="AW243" s="98"/>
      <c r="AX243" s="98"/>
      <c r="AY243" s="98"/>
      <c r="AZ243" s="98"/>
      <c r="BA243" s="98"/>
      <c r="BB243" s="98"/>
      <c r="BC243" s="98"/>
      <c r="BD243" s="98"/>
      <c r="BE243" s="98"/>
      <c r="BF243" s="98"/>
      <c r="BG243" s="98"/>
      <c r="BH243" s="98"/>
      <c r="BI243" s="98"/>
      <c r="BJ243" s="98"/>
      <c r="BK243" s="98"/>
      <c r="BL243" s="98"/>
      <c r="BM243" s="98"/>
      <c r="BN243" s="98"/>
      <c r="BO243" s="98"/>
      <c r="BP243" s="98"/>
      <c r="BQ243" s="98"/>
      <c r="BR243" s="98"/>
      <c r="BS243" s="98"/>
      <c r="BT243" s="98"/>
      <c r="BU243" s="98"/>
      <c r="BV243" s="98"/>
      <c r="BW243" s="98"/>
      <c r="BX243" s="98"/>
      <c r="BY243" s="98"/>
      <c r="BZ243" s="98"/>
      <c r="CA243" s="98"/>
      <c r="CB243" s="98"/>
      <c r="CC243" s="98"/>
    </row>
    <row r="244" ht="15.75" customHeight="1">
      <c r="A244" s="98"/>
      <c r="B244" s="98"/>
      <c r="C244" s="98"/>
      <c r="D244" s="98"/>
      <c r="E244" s="98"/>
      <c r="F244" s="98"/>
      <c r="G244" s="98"/>
      <c r="H244" s="98"/>
      <c r="I244" s="99"/>
      <c r="J244" s="99"/>
      <c r="K244" s="99"/>
      <c r="L244" s="99"/>
      <c r="M244" s="99"/>
      <c r="N244" s="99"/>
      <c r="O244" s="99"/>
      <c r="P244" s="162"/>
      <c r="Q244" s="163"/>
      <c r="R244" s="163"/>
      <c r="S244" s="163"/>
      <c r="T244" s="164"/>
      <c r="U244" s="163"/>
      <c r="V244" s="163"/>
      <c r="W244" s="164"/>
      <c r="X244" s="98"/>
      <c r="Y244" s="98"/>
      <c r="Z244" s="98"/>
      <c r="AA244" s="98"/>
      <c r="AB244" s="98"/>
      <c r="AC244" s="98"/>
      <c r="AD244" s="98"/>
      <c r="AE244" s="98"/>
      <c r="AF244" s="98"/>
      <c r="AG244" s="98"/>
      <c r="AH244" s="98"/>
      <c r="AI244" s="98"/>
      <c r="AJ244" s="98"/>
      <c r="AK244" s="98"/>
      <c r="AL244" s="98"/>
      <c r="AM244" s="98"/>
      <c r="AN244" s="98"/>
      <c r="AO244" s="98"/>
      <c r="AP244" s="98"/>
      <c r="AQ244" s="98"/>
      <c r="AR244" s="98"/>
      <c r="AS244" s="98"/>
      <c r="AT244" s="98"/>
      <c r="AU244" s="98"/>
      <c r="AV244" s="98"/>
      <c r="AW244" s="98"/>
      <c r="AX244" s="98"/>
      <c r="AY244" s="98"/>
      <c r="AZ244" s="98"/>
      <c r="BA244" s="98"/>
      <c r="BB244" s="98"/>
      <c r="BC244" s="98"/>
      <c r="BD244" s="98"/>
      <c r="BE244" s="98"/>
      <c r="BF244" s="98"/>
      <c r="BG244" s="98"/>
      <c r="BH244" s="98"/>
      <c r="BI244" s="98"/>
      <c r="BJ244" s="98"/>
      <c r="BK244" s="98"/>
      <c r="BL244" s="98"/>
      <c r="BM244" s="98"/>
      <c r="BN244" s="98"/>
      <c r="BO244" s="98"/>
      <c r="BP244" s="98"/>
      <c r="BQ244" s="98"/>
      <c r="BR244" s="98"/>
      <c r="BS244" s="98"/>
      <c r="BT244" s="98"/>
      <c r="BU244" s="98"/>
      <c r="BV244" s="98"/>
      <c r="BW244" s="98"/>
      <c r="BX244" s="98"/>
      <c r="BY244" s="98"/>
      <c r="BZ244" s="98"/>
      <c r="CA244" s="98"/>
      <c r="CB244" s="98"/>
      <c r="CC244" s="98"/>
    </row>
    <row r="245" ht="15.75" customHeight="1">
      <c r="A245" s="98"/>
      <c r="B245" s="98"/>
      <c r="C245" s="98"/>
      <c r="D245" s="98"/>
      <c r="E245" s="98"/>
      <c r="F245" s="98"/>
      <c r="G245" s="98"/>
      <c r="H245" s="98"/>
      <c r="I245" s="99"/>
      <c r="J245" s="99"/>
      <c r="K245" s="99"/>
      <c r="L245" s="99"/>
      <c r="M245" s="99"/>
      <c r="N245" s="99"/>
      <c r="O245" s="99"/>
      <c r="P245" s="162"/>
      <c r="Q245" s="163"/>
      <c r="R245" s="163"/>
      <c r="S245" s="163"/>
      <c r="T245" s="164"/>
      <c r="U245" s="163"/>
      <c r="V245" s="163"/>
      <c r="W245" s="164"/>
      <c r="X245" s="98"/>
      <c r="Y245" s="98"/>
      <c r="Z245" s="98"/>
      <c r="AA245" s="98"/>
      <c r="AB245" s="98"/>
      <c r="AC245" s="98"/>
      <c r="AD245" s="98"/>
      <c r="AE245" s="98"/>
      <c r="AF245" s="98"/>
      <c r="AG245" s="98"/>
      <c r="AH245" s="98"/>
      <c r="AI245" s="98"/>
      <c r="AJ245" s="98"/>
      <c r="AK245" s="98"/>
      <c r="AL245" s="98"/>
      <c r="AM245" s="98"/>
      <c r="AN245" s="98"/>
      <c r="AO245" s="98"/>
      <c r="AP245" s="98"/>
      <c r="AQ245" s="98"/>
      <c r="AR245" s="98"/>
      <c r="AS245" s="98"/>
      <c r="AT245" s="98"/>
      <c r="AU245" s="98"/>
      <c r="AV245" s="98"/>
      <c r="AW245" s="98"/>
      <c r="AX245" s="98"/>
      <c r="AY245" s="98"/>
      <c r="AZ245" s="98"/>
      <c r="BA245" s="98"/>
      <c r="BB245" s="98"/>
      <c r="BC245" s="98"/>
      <c r="BD245" s="98"/>
      <c r="BE245" s="98"/>
      <c r="BF245" s="98"/>
      <c r="BG245" s="98"/>
      <c r="BH245" s="98"/>
      <c r="BI245" s="98"/>
      <c r="BJ245" s="98"/>
      <c r="BK245" s="98"/>
      <c r="BL245" s="98"/>
      <c r="BM245" s="98"/>
      <c r="BN245" s="98"/>
      <c r="BO245" s="98"/>
      <c r="BP245" s="98"/>
      <c r="BQ245" s="98"/>
      <c r="BR245" s="98"/>
      <c r="BS245" s="98"/>
      <c r="BT245" s="98"/>
      <c r="BU245" s="98"/>
      <c r="BV245" s="98"/>
      <c r="BW245" s="98"/>
      <c r="BX245" s="98"/>
      <c r="BY245" s="98"/>
      <c r="BZ245" s="98"/>
      <c r="CA245" s="98"/>
      <c r="CB245" s="98"/>
      <c r="CC245" s="98"/>
    </row>
    <row r="246" ht="15.75" customHeight="1">
      <c r="A246" s="98"/>
      <c r="B246" s="98"/>
      <c r="C246" s="98"/>
      <c r="D246" s="98"/>
      <c r="E246" s="98"/>
      <c r="F246" s="98"/>
      <c r="G246" s="98"/>
      <c r="H246" s="98"/>
      <c r="I246" s="99"/>
      <c r="J246" s="99"/>
      <c r="K246" s="99"/>
      <c r="L246" s="99"/>
      <c r="M246" s="99"/>
      <c r="N246" s="99"/>
      <c r="O246" s="99"/>
      <c r="P246" s="162"/>
      <c r="Q246" s="163"/>
      <c r="R246" s="163"/>
      <c r="S246" s="163"/>
      <c r="T246" s="164"/>
      <c r="U246" s="163"/>
      <c r="V246" s="163"/>
      <c r="W246" s="164"/>
      <c r="X246" s="98"/>
      <c r="Y246" s="98"/>
      <c r="Z246" s="98"/>
      <c r="AA246" s="98"/>
      <c r="AB246" s="98"/>
      <c r="AC246" s="98"/>
      <c r="AD246" s="98"/>
      <c r="AE246" s="98"/>
      <c r="AF246" s="98"/>
      <c r="AG246" s="98"/>
      <c r="AH246" s="98"/>
      <c r="AI246" s="98"/>
      <c r="AJ246" s="98"/>
      <c r="AK246" s="98"/>
      <c r="AL246" s="98"/>
      <c r="AM246" s="98"/>
      <c r="AN246" s="98"/>
      <c r="AO246" s="98"/>
      <c r="AP246" s="98"/>
      <c r="AQ246" s="98"/>
      <c r="AR246" s="98"/>
      <c r="AS246" s="98"/>
      <c r="AT246" s="98"/>
      <c r="AU246" s="98"/>
      <c r="AV246" s="98"/>
      <c r="AW246" s="98"/>
      <c r="AX246" s="98"/>
      <c r="AY246" s="98"/>
      <c r="AZ246" s="98"/>
      <c r="BA246" s="98"/>
      <c r="BB246" s="98"/>
      <c r="BC246" s="98"/>
      <c r="BD246" s="98"/>
      <c r="BE246" s="98"/>
      <c r="BF246" s="98"/>
      <c r="BG246" s="98"/>
      <c r="BH246" s="98"/>
      <c r="BI246" s="98"/>
      <c r="BJ246" s="98"/>
      <c r="BK246" s="98"/>
      <c r="BL246" s="98"/>
      <c r="BM246" s="98"/>
      <c r="BN246" s="98"/>
      <c r="BO246" s="98"/>
      <c r="BP246" s="98"/>
      <c r="BQ246" s="98"/>
      <c r="BR246" s="98"/>
      <c r="BS246" s="98"/>
      <c r="BT246" s="98"/>
      <c r="BU246" s="98"/>
      <c r="BV246" s="98"/>
      <c r="BW246" s="98"/>
      <c r="BX246" s="98"/>
      <c r="BY246" s="98"/>
      <c r="BZ246" s="98"/>
      <c r="CA246" s="98"/>
      <c r="CB246" s="98"/>
      <c r="CC246" s="98"/>
    </row>
    <row r="247" ht="15.75" customHeight="1">
      <c r="A247" s="98"/>
      <c r="B247" s="98"/>
      <c r="C247" s="98"/>
      <c r="D247" s="98"/>
      <c r="E247" s="98"/>
      <c r="F247" s="98"/>
      <c r="G247" s="98"/>
      <c r="H247" s="98"/>
      <c r="I247" s="99"/>
      <c r="J247" s="99"/>
      <c r="K247" s="99"/>
      <c r="L247" s="99"/>
      <c r="M247" s="99"/>
      <c r="N247" s="99"/>
      <c r="O247" s="99"/>
      <c r="P247" s="162"/>
      <c r="Q247" s="163"/>
      <c r="R247" s="163"/>
      <c r="S247" s="163"/>
      <c r="T247" s="164"/>
      <c r="U247" s="163"/>
      <c r="V247" s="163"/>
      <c r="W247" s="164"/>
      <c r="X247" s="98"/>
      <c r="Y247" s="98"/>
      <c r="Z247" s="98"/>
      <c r="AA247" s="98"/>
      <c r="AB247" s="98"/>
      <c r="AC247" s="98"/>
      <c r="AD247" s="98"/>
      <c r="AE247" s="98"/>
      <c r="AF247" s="98"/>
      <c r="AG247" s="98"/>
      <c r="AH247" s="98"/>
      <c r="AI247" s="98"/>
      <c r="AJ247" s="98"/>
      <c r="AK247" s="98"/>
      <c r="AL247" s="98"/>
      <c r="AM247" s="98"/>
      <c r="AN247" s="98"/>
      <c r="AO247" s="98"/>
      <c r="AP247" s="98"/>
      <c r="AQ247" s="98"/>
      <c r="AR247" s="98"/>
      <c r="AS247" s="98"/>
      <c r="AT247" s="98"/>
      <c r="AU247" s="98"/>
      <c r="AV247" s="98"/>
      <c r="AW247" s="98"/>
      <c r="AX247" s="98"/>
      <c r="AY247" s="98"/>
      <c r="AZ247" s="98"/>
      <c r="BA247" s="98"/>
      <c r="BB247" s="98"/>
      <c r="BC247" s="98"/>
      <c r="BD247" s="98"/>
      <c r="BE247" s="98"/>
      <c r="BF247" s="98"/>
      <c r="BG247" s="98"/>
      <c r="BH247" s="98"/>
      <c r="BI247" s="98"/>
      <c r="BJ247" s="98"/>
      <c r="BK247" s="98"/>
      <c r="BL247" s="98"/>
      <c r="BM247" s="98"/>
      <c r="BN247" s="98"/>
      <c r="BO247" s="98"/>
      <c r="BP247" s="98"/>
      <c r="BQ247" s="98"/>
      <c r="BR247" s="98"/>
      <c r="BS247" s="98"/>
      <c r="BT247" s="98"/>
      <c r="BU247" s="98"/>
      <c r="BV247" s="98"/>
      <c r="BW247" s="98"/>
      <c r="BX247" s="98"/>
      <c r="BY247" s="98"/>
      <c r="BZ247" s="98"/>
      <c r="CA247" s="98"/>
      <c r="CB247" s="98"/>
      <c r="CC247" s="98"/>
    </row>
    <row r="248" ht="15.75" customHeight="1">
      <c r="A248" s="98"/>
      <c r="B248" s="98"/>
      <c r="C248" s="98"/>
      <c r="D248" s="98"/>
      <c r="E248" s="98"/>
      <c r="F248" s="98"/>
      <c r="G248" s="98"/>
      <c r="H248" s="98"/>
      <c r="I248" s="99"/>
      <c r="J248" s="99"/>
      <c r="K248" s="99"/>
      <c r="L248" s="99"/>
      <c r="M248" s="99"/>
      <c r="N248" s="99"/>
      <c r="O248" s="99"/>
      <c r="P248" s="162"/>
      <c r="Q248" s="163"/>
      <c r="R248" s="163"/>
      <c r="S248" s="163"/>
      <c r="T248" s="164"/>
      <c r="U248" s="163"/>
      <c r="V248" s="163"/>
      <c r="W248" s="164"/>
      <c r="X248" s="98"/>
      <c r="Y248" s="98"/>
      <c r="Z248" s="98"/>
      <c r="AA248" s="98"/>
      <c r="AB248" s="98"/>
      <c r="AC248" s="98"/>
      <c r="AD248" s="98"/>
      <c r="AE248" s="98"/>
      <c r="AF248" s="98"/>
      <c r="AG248" s="98"/>
      <c r="AH248" s="98"/>
      <c r="AI248" s="98"/>
      <c r="AJ248" s="98"/>
      <c r="AK248" s="98"/>
      <c r="AL248" s="98"/>
      <c r="AM248" s="98"/>
      <c r="AN248" s="98"/>
      <c r="AO248" s="98"/>
      <c r="AP248" s="98"/>
      <c r="AQ248" s="98"/>
      <c r="AR248" s="98"/>
      <c r="AS248" s="98"/>
      <c r="AT248" s="98"/>
      <c r="AU248" s="98"/>
      <c r="AV248" s="98"/>
      <c r="AW248" s="98"/>
      <c r="AX248" s="98"/>
      <c r="AY248" s="98"/>
      <c r="AZ248" s="98"/>
      <c r="BA248" s="98"/>
      <c r="BB248" s="98"/>
      <c r="BC248" s="98"/>
      <c r="BD248" s="98"/>
      <c r="BE248" s="98"/>
      <c r="BF248" s="98"/>
      <c r="BG248" s="98"/>
      <c r="BH248" s="98"/>
      <c r="BI248" s="98"/>
      <c r="BJ248" s="98"/>
      <c r="BK248" s="98"/>
      <c r="BL248" s="98"/>
      <c r="BM248" s="98"/>
      <c r="BN248" s="98"/>
      <c r="BO248" s="98"/>
      <c r="BP248" s="98"/>
      <c r="BQ248" s="98"/>
      <c r="BR248" s="98"/>
      <c r="BS248" s="98"/>
      <c r="BT248" s="98"/>
      <c r="BU248" s="98"/>
      <c r="BV248" s="98"/>
      <c r="BW248" s="98"/>
      <c r="BX248" s="98"/>
      <c r="BY248" s="98"/>
      <c r="BZ248" s="98"/>
      <c r="CA248" s="98"/>
      <c r="CB248" s="98"/>
      <c r="CC248" s="98"/>
    </row>
    <row r="249" ht="15.75" customHeight="1">
      <c r="A249" s="98"/>
      <c r="B249" s="98"/>
      <c r="C249" s="98"/>
      <c r="D249" s="98"/>
      <c r="E249" s="98"/>
      <c r="F249" s="98"/>
      <c r="G249" s="98"/>
      <c r="H249" s="98"/>
      <c r="I249" s="99"/>
      <c r="J249" s="99"/>
      <c r="K249" s="99"/>
      <c r="L249" s="99"/>
      <c r="M249" s="99"/>
      <c r="N249" s="99"/>
      <c r="O249" s="99"/>
      <c r="P249" s="162"/>
      <c r="Q249" s="163"/>
      <c r="R249" s="163"/>
      <c r="S249" s="163"/>
      <c r="T249" s="164"/>
      <c r="U249" s="163"/>
      <c r="V249" s="163"/>
      <c r="W249" s="164"/>
      <c r="X249" s="98"/>
      <c r="Y249" s="98"/>
      <c r="Z249" s="98"/>
      <c r="AA249" s="98"/>
      <c r="AB249" s="98"/>
      <c r="AC249" s="98"/>
      <c r="AD249" s="98"/>
      <c r="AE249" s="98"/>
      <c r="AF249" s="98"/>
      <c r="AG249" s="98"/>
      <c r="AH249" s="98"/>
      <c r="AI249" s="98"/>
      <c r="AJ249" s="98"/>
      <c r="AK249" s="98"/>
      <c r="AL249" s="98"/>
      <c r="AM249" s="98"/>
      <c r="AN249" s="98"/>
      <c r="AO249" s="98"/>
      <c r="AP249" s="98"/>
      <c r="AQ249" s="98"/>
      <c r="AR249" s="98"/>
      <c r="AS249" s="98"/>
      <c r="AT249" s="98"/>
      <c r="AU249" s="98"/>
      <c r="AV249" s="98"/>
      <c r="AW249" s="98"/>
      <c r="AX249" s="98"/>
      <c r="AY249" s="98"/>
      <c r="AZ249" s="98"/>
      <c r="BA249" s="98"/>
      <c r="BB249" s="98"/>
      <c r="BC249" s="98"/>
      <c r="BD249" s="98"/>
      <c r="BE249" s="98"/>
      <c r="BF249" s="98"/>
      <c r="BG249" s="98"/>
      <c r="BH249" s="98"/>
      <c r="BI249" s="98"/>
      <c r="BJ249" s="98"/>
      <c r="BK249" s="98"/>
      <c r="BL249" s="98"/>
      <c r="BM249" s="98"/>
      <c r="BN249" s="98"/>
      <c r="BO249" s="98"/>
      <c r="BP249" s="98"/>
      <c r="BQ249" s="98"/>
      <c r="BR249" s="98"/>
      <c r="BS249" s="98"/>
      <c r="BT249" s="98"/>
      <c r="BU249" s="98"/>
      <c r="BV249" s="98"/>
      <c r="BW249" s="98"/>
      <c r="BX249" s="98"/>
      <c r="BY249" s="98"/>
      <c r="BZ249" s="98"/>
      <c r="CA249" s="98"/>
      <c r="CB249" s="98"/>
      <c r="CC249" s="98"/>
    </row>
    <row r="250" ht="15.75" customHeight="1">
      <c r="A250" s="98"/>
      <c r="B250" s="98"/>
      <c r="C250" s="98"/>
      <c r="D250" s="98"/>
      <c r="E250" s="98"/>
      <c r="F250" s="98"/>
      <c r="G250" s="98"/>
      <c r="H250" s="98"/>
      <c r="I250" s="99"/>
      <c r="J250" s="99"/>
      <c r="K250" s="99"/>
      <c r="L250" s="99"/>
      <c r="M250" s="99"/>
      <c r="N250" s="99"/>
      <c r="O250" s="99"/>
      <c r="P250" s="162"/>
      <c r="Q250" s="163"/>
      <c r="R250" s="163"/>
      <c r="S250" s="163"/>
      <c r="T250" s="164"/>
      <c r="U250" s="163"/>
      <c r="V250" s="163"/>
      <c r="W250" s="164"/>
      <c r="X250" s="98"/>
      <c r="Y250" s="98"/>
      <c r="Z250" s="98"/>
      <c r="AA250" s="98"/>
      <c r="AB250" s="98"/>
      <c r="AC250" s="98"/>
      <c r="AD250" s="98"/>
      <c r="AE250" s="98"/>
      <c r="AF250" s="98"/>
      <c r="AG250" s="98"/>
      <c r="AH250" s="98"/>
      <c r="AI250" s="98"/>
      <c r="AJ250" s="98"/>
      <c r="AK250" s="98"/>
      <c r="AL250" s="98"/>
      <c r="AM250" s="98"/>
      <c r="AN250" s="98"/>
      <c r="AO250" s="98"/>
      <c r="AP250" s="98"/>
      <c r="AQ250" s="98"/>
      <c r="AR250" s="98"/>
      <c r="AS250" s="98"/>
      <c r="AT250" s="98"/>
      <c r="AU250" s="98"/>
      <c r="AV250" s="98"/>
      <c r="AW250" s="98"/>
      <c r="AX250" s="98"/>
      <c r="AY250" s="98"/>
      <c r="AZ250" s="98"/>
      <c r="BA250" s="98"/>
      <c r="BB250" s="98"/>
      <c r="BC250" s="98"/>
      <c r="BD250" s="98"/>
      <c r="BE250" s="98"/>
      <c r="BF250" s="98"/>
      <c r="BG250" s="98"/>
      <c r="BH250" s="98"/>
      <c r="BI250" s="98"/>
      <c r="BJ250" s="98"/>
      <c r="BK250" s="98"/>
      <c r="BL250" s="98"/>
      <c r="BM250" s="98"/>
      <c r="BN250" s="98"/>
      <c r="BO250" s="98"/>
      <c r="BP250" s="98"/>
      <c r="BQ250" s="98"/>
      <c r="BR250" s="98"/>
      <c r="BS250" s="98"/>
      <c r="BT250" s="98"/>
      <c r="BU250" s="98"/>
      <c r="BV250" s="98"/>
      <c r="BW250" s="98"/>
      <c r="BX250" s="98"/>
      <c r="BY250" s="98"/>
      <c r="BZ250" s="98"/>
      <c r="CA250" s="98"/>
      <c r="CB250" s="98"/>
      <c r="CC250" s="98"/>
    </row>
    <row r="251" ht="15.75" customHeight="1">
      <c r="A251" s="98"/>
      <c r="B251" s="98"/>
      <c r="C251" s="98"/>
      <c r="D251" s="98"/>
      <c r="E251" s="98"/>
      <c r="F251" s="98"/>
      <c r="G251" s="98"/>
      <c r="H251" s="98"/>
      <c r="I251" s="99"/>
      <c r="J251" s="99"/>
      <c r="K251" s="99"/>
      <c r="L251" s="99"/>
      <c r="M251" s="99"/>
      <c r="N251" s="99"/>
      <c r="O251" s="99"/>
      <c r="P251" s="162"/>
      <c r="Q251" s="163"/>
      <c r="R251" s="163"/>
      <c r="S251" s="163"/>
      <c r="T251" s="164"/>
      <c r="U251" s="163"/>
      <c r="V251" s="163"/>
      <c r="W251" s="164"/>
      <c r="X251" s="98"/>
      <c r="Y251" s="98"/>
      <c r="Z251" s="98"/>
      <c r="AA251" s="98"/>
      <c r="AB251" s="98"/>
      <c r="AC251" s="98"/>
      <c r="AD251" s="98"/>
      <c r="AE251" s="98"/>
      <c r="AF251" s="98"/>
      <c r="AG251" s="98"/>
      <c r="AH251" s="98"/>
      <c r="AI251" s="98"/>
      <c r="AJ251" s="98"/>
      <c r="AK251" s="98"/>
      <c r="AL251" s="98"/>
      <c r="AM251" s="98"/>
      <c r="AN251" s="98"/>
      <c r="AO251" s="98"/>
      <c r="AP251" s="98"/>
      <c r="AQ251" s="98"/>
      <c r="AR251" s="98"/>
      <c r="AS251" s="98"/>
      <c r="AT251" s="98"/>
      <c r="AU251" s="98"/>
      <c r="AV251" s="98"/>
      <c r="AW251" s="98"/>
      <c r="AX251" s="98"/>
      <c r="AY251" s="98"/>
      <c r="AZ251" s="98"/>
      <c r="BA251" s="98"/>
      <c r="BB251" s="98"/>
      <c r="BC251" s="98"/>
      <c r="BD251" s="98"/>
      <c r="BE251" s="98"/>
      <c r="BF251" s="98"/>
      <c r="BG251" s="98"/>
      <c r="BH251" s="98"/>
      <c r="BI251" s="98"/>
      <c r="BJ251" s="98"/>
      <c r="BK251" s="98"/>
      <c r="BL251" s="98"/>
      <c r="BM251" s="98"/>
      <c r="BN251" s="98"/>
      <c r="BO251" s="98"/>
      <c r="BP251" s="98"/>
      <c r="BQ251" s="98"/>
      <c r="BR251" s="98"/>
      <c r="BS251" s="98"/>
      <c r="BT251" s="98"/>
      <c r="BU251" s="98"/>
      <c r="BV251" s="98"/>
      <c r="BW251" s="98"/>
      <c r="BX251" s="98"/>
      <c r="BY251" s="98"/>
      <c r="BZ251" s="98"/>
      <c r="CA251" s="98"/>
      <c r="CB251" s="98"/>
      <c r="CC251" s="98"/>
    </row>
    <row r="252" ht="15.75" customHeight="1">
      <c r="A252" s="98"/>
      <c r="B252" s="98"/>
      <c r="C252" s="98"/>
      <c r="D252" s="98"/>
      <c r="E252" s="98"/>
      <c r="F252" s="98"/>
      <c r="G252" s="98"/>
      <c r="H252" s="98"/>
      <c r="I252" s="99"/>
      <c r="J252" s="99"/>
      <c r="K252" s="99"/>
      <c r="L252" s="99"/>
      <c r="M252" s="99"/>
      <c r="N252" s="99"/>
      <c r="O252" s="99"/>
      <c r="P252" s="162"/>
      <c r="Q252" s="163"/>
      <c r="R252" s="163"/>
      <c r="S252" s="163"/>
      <c r="T252" s="164"/>
      <c r="U252" s="163"/>
      <c r="V252" s="163"/>
      <c r="W252" s="164"/>
      <c r="X252" s="98"/>
      <c r="Y252" s="98"/>
      <c r="Z252" s="98"/>
      <c r="AA252" s="98"/>
      <c r="AB252" s="98"/>
      <c r="AC252" s="98"/>
      <c r="AD252" s="98"/>
      <c r="AE252" s="98"/>
      <c r="AF252" s="98"/>
      <c r="AG252" s="98"/>
      <c r="AH252" s="98"/>
      <c r="AI252" s="98"/>
      <c r="AJ252" s="98"/>
      <c r="AK252" s="98"/>
      <c r="AL252" s="98"/>
      <c r="AM252" s="98"/>
      <c r="AN252" s="98"/>
      <c r="AO252" s="98"/>
      <c r="AP252" s="98"/>
      <c r="AQ252" s="98"/>
      <c r="AR252" s="98"/>
      <c r="AS252" s="98"/>
      <c r="AT252" s="98"/>
      <c r="AU252" s="98"/>
      <c r="AV252" s="98"/>
      <c r="AW252" s="98"/>
      <c r="AX252" s="98"/>
      <c r="AY252" s="98"/>
      <c r="AZ252" s="98"/>
      <c r="BA252" s="98"/>
      <c r="BB252" s="98"/>
      <c r="BC252" s="98"/>
      <c r="BD252" s="98"/>
      <c r="BE252" s="98"/>
      <c r="BF252" s="98"/>
      <c r="BG252" s="98"/>
      <c r="BH252" s="98"/>
      <c r="BI252" s="98"/>
      <c r="BJ252" s="98"/>
      <c r="BK252" s="98"/>
      <c r="BL252" s="98"/>
      <c r="BM252" s="98"/>
      <c r="BN252" s="98"/>
      <c r="BO252" s="98"/>
      <c r="BP252" s="98"/>
      <c r="BQ252" s="98"/>
      <c r="BR252" s="98"/>
      <c r="BS252" s="98"/>
      <c r="BT252" s="98"/>
      <c r="BU252" s="98"/>
      <c r="BV252" s="98"/>
      <c r="BW252" s="98"/>
      <c r="BX252" s="98"/>
      <c r="BY252" s="98"/>
      <c r="BZ252" s="98"/>
      <c r="CA252" s="98"/>
      <c r="CB252" s="98"/>
      <c r="CC252" s="98"/>
    </row>
    <row r="253" ht="15.75" customHeight="1">
      <c r="A253" s="98"/>
      <c r="B253" s="98"/>
      <c r="C253" s="98"/>
      <c r="D253" s="98"/>
      <c r="E253" s="98"/>
      <c r="F253" s="98"/>
      <c r="G253" s="98"/>
      <c r="H253" s="98"/>
      <c r="I253" s="99"/>
      <c r="J253" s="99"/>
      <c r="K253" s="99"/>
      <c r="L253" s="99"/>
      <c r="M253" s="99"/>
      <c r="N253" s="99"/>
      <c r="O253" s="99"/>
      <c r="P253" s="162"/>
      <c r="Q253" s="163"/>
      <c r="R253" s="163"/>
      <c r="S253" s="163"/>
      <c r="T253" s="164"/>
      <c r="U253" s="163"/>
      <c r="V253" s="163"/>
      <c r="W253" s="164"/>
      <c r="X253" s="98"/>
      <c r="Y253" s="98"/>
      <c r="Z253" s="98"/>
      <c r="AA253" s="98"/>
      <c r="AB253" s="98"/>
      <c r="AC253" s="98"/>
      <c r="AD253" s="98"/>
      <c r="AE253" s="98"/>
      <c r="AF253" s="98"/>
      <c r="AG253" s="98"/>
      <c r="AH253" s="98"/>
      <c r="AI253" s="98"/>
      <c r="AJ253" s="98"/>
      <c r="AK253" s="98"/>
      <c r="AL253" s="98"/>
      <c r="AM253" s="98"/>
      <c r="AN253" s="98"/>
      <c r="AO253" s="98"/>
      <c r="AP253" s="98"/>
      <c r="AQ253" s="98"/>
      <c r="AR253" s="98"/>
      <c r="AS253" s="98"/>
      <c r="AT253" s="98"/>
      <c r="AU253" s="98"/>
      <c r="AV253" s="98"/>
      <c r="AW253" s="98"/>
      <c r="AX253" s="98"/>
      <c r="AY253" s="98"/>
      <c r="AZ253" s="98"/>
      <c r="BA253" s="98"/>
      <c r="BB253" s="98"/>
      <c r="BC253" s="98"/>
      <c r="BD253" s="98"/>
      <c r="BE253" s="98"/>
      <c r="BF253" s="98"/>
      <c r="BG253" s="98"/>
      <c r="BH253" s="98"/>
      <c r="BI253" s="98"/>
      <c r="BJ253" s="98"/>
      <c r="BK253" s="98"/>
      <c r="BL253" s="98"/>
      <c r="BM253" s="98"/>
      <c r="BN253" s="98"/>
      <c r="BO253" s="98"/>
      <c r="BP253" s="98"/>
      <c r="BQ253" s="98"/>
      <c r="BR253" s="98"/>
      <c r="BS253" s="98"/>
      <c r="BT253" s="98"/>
      <c r="BU253" s="98"/>
      <c r="BV253" s="98"/>
      <c r="BW253" s="98"/>
      <c r="BX253" s="98"/>
      <c r="BY253" s="98"/>
      <c r="BZ253" s="98"/>
      <c r="CA253" s="98"/>
      <c r="CB253" s="98"/>
      <c r="CC253" s="98"/>
    </row>
    <row r="254" ht="15.75" customHeight="1">
      <c r="A254" s="98"/>
      <c r="B254" s="98"/>
      <c r="C254" s="98"/>
      <c r="D254" s="98"/>
      <c r="E254" s="98"/>
      <c r="F254" s="98"/>
      <c r="G254" s="98"/>
      <c r="H254" s="98"/>
      <c r="I254" s="99"/>
      <c r="J254" s="99"/>
      <c r="K254" s="99"/>
      <c r="L254" s="99"/>
      <c r="M254" s="99"/>
      <c r="N254" s="99"/>
      <c r="O254" s="99"/>
      <c r="P254" s="162"/>
      <c r="Q254" s="163"/>
      <c r="R254" s="163"/>
      <c r="S254" s="163"/>
      <c r="T254" s="164"/>
      <c r="U254" s="163"/>
      <c r="V254" s="163"/>
      <c r="W254" s="164"/>
      <c r="X254" s="98"/>
      <c r="Y254" s="98"/>
      <c r="Z254" s="98"/>
      <c r="AA254" s="98"/>
      <c r="AB254" s="98"/>
      <c r="AC254" s="98"/>
      <c r="AD254" s="98"/>
      <c r="AE254" s="98"/>
      <c r="AF254" s="98"/>
      <c r="AG254" s="98"/>
      <c r="AH254" s="98"/>
      <c r="AI254" s="98"/>
      <c r="AJ254" s="98"/>
      <c r="AK254" s="98"/>
      <c r="AL254" s="98"/>
      <c r="AM254" s="98"/>
      <c r="AN254" s="98"/>
      <c r="AO254" s="98"/>
      <c r="AP254" s="98"/>
      <c r="AQ254" s="98"/>
      <c r="AR254" s="98"/>
      <c r="AS254" s="98"/>
      <c r="AT254" s="98"/>
      <c r="AU254" s="98"/>
      <c r="AV254" s="98"/>
      <c r="AW254" s="98"/>
      <c r="AX254" s="98"/>
      <c r="AY254" s="98"/>
      <c r="AZ254" s="98"/>
      <c r="BA254" s="98"/>
      <c r="BB254" s="98"/>
      <c r="BC254" s="98"/>
      <c r="BD254" s="98"/>
      <c r="BE254" s="98"/>
      <c r="BF254" s="98"/>
      <c r="BG254" s="98"/>
      <c r="BH254" s="98"/>
      <c r="BI254" s="98"/>
      <c r="BJ254" s="98"/>
      <c r="BK254" s="98"/>
      <c r="BL254" s="98"/>
      <c r="BM254" s="98"/>
      <c r="BN254" s="98"/>
      <c r="BO254" s="98"/>
      <c r="BP254" s="98"/>
      <c r="BQ254" s="98"/>
      <c r="BR254" s="98"/>
      <c r="BS254" s="98"/>
      <c r="BT254" s="98"/>
      <c r="BU254" s="98"/>
      <c r="BV254" s="98"/>
      <c r="BW254" s="98"/>
      <c r="BX254" s="98"/>
      <c r="BY254" s="98"/>
      <c r="BZ254" s="98"/>
      <c r="CA254" s="98"/>
      <c r="CB254" s="98"/>
      <c r="CC254" s="98"/>
    </row>
    <row r="255" ht="15.75" customHeight="1">
      <c r="A255" s="98"/>
      <c r="B255" s="98"/>
      <c r="C255" s="98"/>
      <c r="D255" s="98"/>
      <c r="E255" s="98"/>
      <c r="F255" s="98"/>
      <c r="G255" s="98"/>
      <c r="H255" s="98"/>
      <c r="I255" s="99"/>
      <c r="J255" s="99"/>
      <c r="K255" s="99"/>
      <c r="L255" s="99"/>
      <c r="M255" s="99"/>
      <c r="N255" s="99"/>
      <c r="O255" s="99"/>
      <c r="P255" s="162"/>
      <c r="Q255" s="163"/>
      <c r="R255" s="163"/>
      <c r="S255" s="163"/>
      <c r="T255" s="164"/>
      <c r="U255" s="163"/>
      <c r="V255" s="163"/>
      <c r="W255" s="164"/>
      <c r="X255" s="98"/>
      <c r="Y255" s="98"/>
      <c r="Z255" s="98"/>
      <c r="AA255" s="98"/>
      <c r="AB255" s="98"/>
      <c r="AC255" s="98"/>
      <c r="AD255" s="98"/>
      <c r="AE255" s="98"/>
      <c r="AF255" s="98"/>
      <c r="AG255" s="98"/>
      <c r="AH255" s="98"/>
      <c r="AI255" s="98"/>
      <c r="AJ255" s="98"/>
      <c r="AK255" s="98"/>
      <c r="AL255" s="98"/>
      <c r="AM255" s="98"/>
      <c r="AN255" s="98"/>
      <c r="AO255" s="98"/>
      <c r="AP255" s="98"/>
      <c r="AQ255" s="98"/>
      <c r="AR255" s="98"/>
      <c r="AS255" s="98"/>
      <c r="AT255" s="98"/>
      <c r="AU255" s="98"/>
      <c r="AV255" s="98"/>
      <c r="AW255" s="98"/>
      <c r="AX255" s="98"/>
      <c r="AY255" s="98"/>
      <c r="AZ255" s="98"/>
      <c r="BA255" s="98"/>
      <c r="BB255" s="98"/>
      <c r="BC255" s="98"/>
      <c r="BD255" s="98"/>
      <c r="BE255" s="98"/>
      <c r="BF255" s="98"/>
      <c r="BG255" s="98"/>
      <c r="BH255" s="98"/>
      <c r="BI255" s="98"/>
      <c r="BJ255" s="98"/>
      <c r="BK255" s="98"/>
      <c r="BL255" s="98"/>
      <c r="BM255" s="98"/>
      <c r="BN255" s="98"/>
      <c r="BO255" s="98"/>
      <c r="BP255" s="98"/>
      <c r="BQ255" s="98"/>
      <c r="BR255" s="98"/>
      <c r="BS255" s="98"/>
      <c r="BT255" s="98"/>
      <c r="BU255" s="98"/>
      <c r="BV255" s="98"/>
      <c r="BW255" s="98"/>
      <c r="BX255" s="98"/>
      <c r="BY255" s="98"/>
      <c r="BZ255" s="98"/>
      <c r="CA255" s="98"/>
      <c r="CB255" s="98"/>
      <c r="CC255" s="98"/>
    </row>
    <row r="256" ht="15.75" customHeight="1">
      <c r="A256" s="98"/>
      <c r="B256" s="98"/>
      <c r="C256" s="98"/>
      <c r="D256" s="98"/>
      <c r="E256" s="98"/>
      <c r="F256" s="98"/>
      <c r="G256" s="98"/>
      <c r="H256" s="98"/>
      <c r="I256" s="99"/>
      <c r="J256" s="99"/>
      <c r="K256" s="99"/>
      <c r="L256" s="99"/>
      <c r="M256" s="99"/>
      <c r="N256" s="99"/>
      <c r="O256" s="99"/>
      <c r="P256" s="162"/>
      <c r="Q256" s="163"/>
      <c r="R256" s="163"/>
      <c r="S256" s="163"/>
      <c r="T256" s="164"/>
      <c r="U256" s="163"/>
      <c r="V256" s="163"/>
      <c r="W256" s="164"/>
      <c r="X256" s="98"/>
      <c r="Y256" s="98"/>
      <c r="Z256" s="98"/>
      <c r="AA256" s="98"/>
      <c r="AB256" s="98"/>
      <c r="AC256" s="98"/>
      <c r="AD256" s="98"/>
      <c r="AE256" s="98"/>
      <c r="AF256" s="98"/>
      <c r="AG256" s="98"/>
      <c r="AH256" s="98"/>
      <c r="AI256" s="98"/>
      <c r="AJ256" s="98"/>
      <c r="AK256" s="98"/>
      <c r="AL256" s="98"/>
      <c r="AM256" s="98"/>
      <c r="AN256" s="98"/>
      <c r="AO256" s="98"/>
      <c r="AP256" s="98"/>
      <c r="AQ256" s="98"/>
      <c r="AR256" s="98"/>
      <c r="AS256" s="98"/>
      <c r="AT256" s="98"/>
      <c r="AU256" s="98"/>
      <c r="AV256" s="98"/>
      <c r="AW256" s="98"/>
      <c r="AX256" s="98"/>
      <c r="AY256" s="98"/>
      <c r="AZ256" s="98"/>
      <c r="BA256" s="98"/>
      <c r="BB256" s="98"/>
      <c r="BC256" s="98"/>
      <c r="BD256" s="98"/>
      <c r="BE256" s="98"/>
      <c r="BF256" s="98"/>
      <c r="BG256" s="98"/>
      <c r="BH256" s="98"/>
      <c r="BI256" s="98"/>
      <c r="BJ256" s="98"/>
      <c r="BK256" s="98"/>
      <c r="BL256" s="98"/>
      <c r="BM256" s="98"/>
      <c r="BN256" s="98"/>
      <c r="BO256" s="98"/>
      <c r="BP256" s="98"/>
      <c r="BQ256" s="98"/>
      <c r="BR256" s="98"/>
      <c r="BS256" s="98"/>
      <c r="BT256" s="98"/>
      <c r="BU256" s="98"/>
      <c r="BV256" s="98"/>
      <c r="BW256" s="98"/>
      <c r="BX256" s="98"/>
      <c r="BY256" s="98"/>
      <c r="BZ256" s="98"/>
      <c r="CA256" s="98"/>
      <c r="CB256" s="98"/>
      <c r="CC256" s="98"/>
    </row>
    <row r="257" ht="15.75" customHeight="1">
      <c r="A257" s="98"/>
      <c r="B257" s="98"/>
      <c r="C257" s="98"/>
      <c r="D257" s="98"/>
      <c r="E257" s="98"/>
      <c r="F257" s="98"/>
      <c r="G257" s="98"/>
      <c r="H257" s="98"/>
      <c r="I257" s="99"/>
      <c r="J257" s="99"/>
      <c r="K257" s="99"/>
      <c r="L257" s="99"/>
      <c r="M257" s="99"/>
      <c r="N257" s="99"/>
      <c r="O257" s="99"/>
      <c r="P257" s="162"/>
      <c r="Q257" s="163"/>
      <c r="R257" s="163"/>
      <c r="S257" s="163"/>
      <c r="T257" s="164"/>
      <c r="U257" s="163"/>
      <c r="V257" s="163"/>
      <c r="W257" s="164"/>
      <c r="X257" s="98"/>
      <c r="Y257" s="98"/>
      <c r="Z257" s="98"/>
      <c r="AA257" s="98"/>
      <c r="AB257" s="98"/>
      <c r="AC257" s="98"/>
      <c r="AD257" s="98"/>
      <c r="AE257" s="98"/>
      <c r="AF257" s="98"/>
      <c r="AG257" s="98"/>
      <c r="AH257" s="98"/>
      <c r="AI257" s="98"/>
      <c r="AJ257" s="98"/>
      <c r="AK257" s="98"/>
      <c r="AL257" s="98"/>
      <c r="AM257" s="98"/>
      <c r="AN257" s="98"/>
      <c r="AO257" s="98"/>
      <c r="AP257" s="98"/>
      <c r="AQ257" s="98"/>
      <c r="AR257" s="98"/>
      <c r="AS257" s="98"/>
      <c r="AT257" s="98"/>
      <c r="AU257" s="98"/>
      <c r="AV257" s="98"/>
      <c r="AW257" s="98"/>
      <c r="AX257" s="98"/>
      <c r="AY257" s="98"/>
      <c r="AZ257" s="98"/>
      <c r="BA257" s="98"/>
      <c r="BB257" s="98"/>
      <c r="BC257" s="98"/>
      <c r="BD257" s="98"/>
      <c r="BE257" s="98"/>
      <c r="BF257" s="98"/>
      <c r="BG257" s="98"/>
      <c r="BH257" s="98"/>
      <c r="BI257" s="98"/>
      <c r="BJ257" s="98"/>
      <c r="BK257" s="98"/>
      <c r="BL257" s="98"/>
      <c r="BM257" s="98"/>
      <c r="BN257" s="98"/>
      <c r="BO257" s="98"/>
      <c r="BP257" s="98"/>
      <c r="BQ257" s="98"/>
      <c r="BR257" s="98"/>
      <c r="BS257" s="98"/>
      <c r="BT257" s="98"/>
      <c r="BU257" s="98"/>
      <c r="BV257" s="98"/>
      <c r="BW257" s="98"/>
      <c r="BX257" s="98"/>
      <c r="BY257" s="98"/>
      <c r="BZ257" s="98"/>
      <c r="CA257" s="98"/>
      <c r="CB257" s="98"/>
      <c r="CC257" s="98"/>
    </row>
    <row r="258" ht="15.75" customHeight="1">
      <c r="A258" s="98"/>
      <c r="B258" s="98"/>
      <c r="C258" s="98"/>
      <c r="D258" s="98"/>
      <c r="E258" s="98"/>
      <c r="F258" s="98"/>
      <c r="G258" s="98"/>
      <c r="H258" s="98"/>
      <c r="I258" s="99"/>
      <c r="J258" s="99"/>
      <c r="K258" s="99"/>
      <c r="L258" s="99"/>
      <c r="M258" s="99"/>
      <c r="N258" s="99"/>
      <c r="O258" s="99"/>
      <c r="P258" s="162"/>
      <c r="Q258" s="163"/>
      <c r="R258" s="163"/>
      <c r="S258" s="163"/>
      <c r="T258" s="164"/>
      <c r="U258" s="163"/>
      <c r="V258" s="163"/>
      <c r="W258" s="164"/>
      <c r="X258" s="98"/>
      <c r="Y258" s="98"/>
      <c r="Z258" s="98"/>
      <c r="AA258" s="98"/>
      <c r="AB258" s="98"/>
      <c r="AC258" s="98"/>
      <c r="AD258" s="98"/>
      <c r="AE258" s="98"/>
      <c r="AF258" s="98"/>
      <c r="AG258" s="98"/>
      <c r="AH258" s="98"/>
      <c r="AI258" s="98"/>
      <c r="AJ258" s="98"/>
      <c r="AK258" s="98"/>
      <c r="AL258" s="98"/>
      <c r="AM258" s="98"/>
      <c r="AN258" s="98"/>
      <c r="AO258" s="98"/>
      <c r="AP258" s="98"/>
      <c r="AQ258" s="98"/>
      <c r="AR258" s="98"/>
      <c r="AS258" s="98"/>
      <c r="AT258" s="98"/>
      <c r="AU258" s="98"/>
      <c r="AV258" s="98"/>
      <c r="AW258" s="98"/>
      <c r="AX258" s="98"/>
      <c r="AY258" s="98"/>
      <c r="AZ258" s="98"/>
      <c r="BA258" s="98"/>
      <c r="BB258" s="98"/>
      <c r="BC258" s="98"/>
      <c r="BD258" s="98"/>
      <c r="BE258" s="98"/>
      <c r="BF258" s="98"/>
      <c r="BG258" s="98"/>
      <c r="BH258" s="98"/>
      <c r="BI258" s="98"/>
      <c r="BJ258" s="98"/>
      <c r="BK258" s="98"/>
      <c r="BL258" s="98"/>
      <c r="BM258" s="98"/>
      <c r="BN258" s="98"/>
      <c r="BO258" s="98"/>
      <c r="BP258" s="98"/>
      <c r="BQ258" s="98"/>
      <c r="BR258" s="98"/>
      <c r="BS258" s="98"/>
      <c r="BT258" s="98"/>
      <c r="BU258" s="98"/>
      <c r="BV258" s="98"/>
      <c r="BW258" s="98"/>
      <c r="BX258" s="98"/>
      <c r="BY258" s="98"/>
      <c r="BZ258" s="98"/>
      <c r="CA258" s="98"/>
      <c r="CB258" s="98"/>
      <c r="CC258" s="98"/>
    </row>
    <row r="259" ht="15.75" customHeight="1">
      <c r="A259" s="98"/>
      <c r="B259" s="98"/>
      <c r="C259" s="98"/>
      <c r="D259" s="98"/>
      <c r="E259" s="98"/>
      <c r="F259" s="98"/>
      <c r="G259" s="98"/>
      <c r="H259" s="98"/>
      <c r="I259" s="99"/>
      <c r="J259" s="99"/>
      <c r="K259" s="99"/>
      <c r="L259" s="99"/>
      <c r="M259" s="99"/>
      <c r="N259" s="99"/>
      <c r="O259" s="99"/>
      <c r="P259" s="162"/>
      <c r="Q259" s="163"/>
      <c r="R259" s="163"/>
      <c r="S259" s="163"/>
      <c r="T259" s="164"/>
      <c r="U259" s="163"/>
      <c r="V259" s="163"/>
      <c r="W259" s="164"/>
      <c r="X259" s="98"/>
      <c r="Y259" s="98"/>
      <c r="Z259" s="98"/>
      <c r="AA259" s="98"/>
      <c r="AB259" s="98"/>
      <c r="AC259" s="98"/>
      <c r="AD259" s="98"/>
      <c r="AE259" s="98"/>
      <c r="AF259" s="98"/>
      <c r="AG259" s="98"/>
      <c r="AH259" s="98"/>
      <c r="AI259" s="98"/>
      <c r="AJ259" s="98"/>
      <c r="AK259" s="98"/>
      <c r="AL259" s="98"/>
      <c r="AM259" s="98"/>
      <c r="AN259" s="98"/>
      <c r="AO259" s="98"/>
      <c r="AP259" s="98"/>
      <c r="AQ259" s="98"/>
      <c r="AR259" s="98"/>
      <c r="AS259" s="98"/>
      <c r="AT259" s="98"/>
      <c r="AU259" s="98"/>
      <c r="AV259" s="98"/>
      <c r="AW259" s="98"/>
      <c r="AX259" s="98"/>
      <c r="AY259" s="98"/>
      <c r="AZ259" s="98"/>
      <c r="BA259" s="98"/>
      <c r="BB259" s="98"/>
      <c r="BC259" s="98"/>
      <c r="BD259" s="98"/>
      <c r="BE259" s="98"/>
      <c r="BF259" s="98"/>
      <c r="BG259" s="98"/>
      <c r="BH259" s="98"/>
      <c r="BI259" s="98"/>
      <c r="BJ259" s="98"/>
      <c r="BK259" s="98"/>
      <c r="BL259" s="98"/>
      <c r="BM259" s="98"/>
      <c r="BN259" s="98"/>
      <c r="BO259" s="98"/>
      <c r="BP259" s="98"/>
      <c r="BQ259" s="98"/>
      <c r="BR259" s="98"/>
      <c r="BS259" s="98"/>
      <c r="BT259" s="98"/>
      <c r="BU259" s="98"/>
      <c r="BV259" s="98"/>
      <c r="BW259" s="98"/>
      <c r="BX259" s="98"/>
      <c r="BY259" s="98"/>
      <c r="BZ259" s="98"/>
      <c r="CA259" s="98"/>
      <c r="CB259" s="98"/>
      <c r="CC259" s="98"/>
    </row>
    <row r="260" ht="15.75" customHeight="1">
      <c r="A260" s="98"/>
      <c r="B260" s="98"/>
      <c r="C260" s="98"/>
      <c r="D260" s="98"/>
      <c r="E260" s="98"/>
      <c r="F260" s="98"/>
      <c r="G260" s="98"/>
      <c r="H260" s="98"/>
      <c r="I260" s="99"/>
      <c r="J260" s="99"/>
      <c r="K260" s="99"/>
      <c r="L260" s="99"/>
      <c r="M260" s="99"/>
      <c r="N260" s="99"/>
      <c r="O260" s="99"/>
      <c r="P260" s="162"/>
      <c r="Q260" s="163"/>
      <c r="R260" s="163"/>
      <c r="S260" s="163"/>
      <c r="T260" s="164"/>
      <c r="U260" s="163"/>
      <c r="V260" s="163"/>
      <c r="W260" s="164"/>
      <c r="X260" s="98"/>
      <c r="Y260" s="98"/>
      <c r="Z260" s="98"/>
      <c r="AA260" s="98"/>
      <c r="AB260" s="98"/>
      <c r="AC260" s="98"/>
      <c r="AD260" s="98"/>
      <c r="AE260" s="98"/>
      <c r="AF260" s="98"/>
      <c r="AG260" s="98"/>
      <c r="AH260" s="98"/>
      <c r="AI260" s="98"/>
      <c r="AJ260" s="98"/>
      <c r="AK260" s="98"/>
      <c r="AL260" s="98"/>
      <c r="AM260" s="98"/>
      <c r="AN260" s="98"/>
      <c r="AO260" s="98"/>
      <c r="AP260" s="98"/>
      <c r="AQ260" s="98"/>
      <c r="AR260" s="98"/>
      <c r="AS260" s="98"/>
      <c r="AT260" s="98"/>
      <c r="AU260" s="98"/>
      <c r="AV260" s="98"/>
      <c r="AW260" s="98"/>
      <c r="AX260" s="98"/>
      <c r="AY260" s="98"/>
      <c r="AZ260" s="98"/>
      <c r="BA260" s="98"/>
      <c r="BB260" s="98"/>
      <c r="BC260" s="98"/>
      <c r="BD260" s="98"/>
      <c r="BE260" s="98"/>
      <c r="BF260" s="98"/>
      <c r="BG260" s="98"/>
      <c r="BH260" s="98"/>
      <c r="BI260" s="98"/>
      <c r="BJ260" s="98"/>
      <c r="BK260" s="98"/>
      <c r="BL260" s="98"/>
      <c r="BM260" s="98"/>
      <c r="BN260" s="98"/>
      <c r="BO260" s="98"/>
      <c r="BP260" s="98"/>
      <c r="BQ260" s="98"/>
      <c r="BR260" s="98"/>
      <c r="BS260" s="98"/>
      <c r="BT260" s="98"/>
      <c r="BU260" s="98"/>
      <c r="BV260" s="98"/>
      <c r="BW260" s="98"/>
      <c r="BX260" s="98"/>
      <c r="BY260" s="98"/>
      <c r="BZ260" s="98"/>
      <c r="CA260" s="98"/>
      <c r="CB260" s="98"/>
      <c r="CC260" s="98"/>
    </row>
    <row r="261" ht="15.75" customHeight="1">
      <c r="A261" s="98"/>
      <c r="B261" s="98"/>
      <c r="C261" s="98"/>
      <c r="D261" s="98"/>
      <c r="E261" s="98"/>
      <c r="F261" s="98"/>
      <c r="G261" s="98"/>
      <c r="H261" s="98"/>
      <c r="I261" s="99"/>
      <c r="J261" s="99"/>
      <c r="K261" s="99"/>
      <c r="L261" s="99"/>
      <c r="M261" s="99"/>
      <c r="N261" s="99"/>
      <c r="O261" s="99"/>
      <c r="P261" s="162"/>
      <c r="Q261" s="163"/>
      <c r="R261" s="163"/>
      <c r="S261" s="163"/>
      <c r="T261" s="164"/>
      <c r="U261" s="163"/>
      <c r="V261" s="163"/>
      <c r="W261" s="164"/>
      <c r="X261" s="98"/>
      <c r="Y261" s="98"/>
      <c r="Z261" s="98"/>
      <c r="AA261" s="98"/>
      <c r="AB261" s="98"/>
      <c r="AC261" s="98"/>
      <c r="AD261" s="98"/>
      <c r="AE261" s="98"/>
      <c r="AF261" s="98"/>
      <c r="AG261" s="98"/>
      <c r="AH261" s="98"/>
      <c r="AI261" s="98"/>
      <c r="AJ261" s="98"/>
      <c r="AK261" s="98"/>
      <c r="AL261" s="98"/>
      <c r="AM261" s="98"/>
      <c r="AN261" s="98"/>
      <c r="AO261" s="98"/>
      <c r="AP261" s="98"/>
      <c r="AQ261" s="98"/>
      <c r="AR261" s="98"/>
      <c r="AS261" s="98"/>
      <c r="AT261" s="98"/>
      <c r="AU261" s="98"/>
      <c r="AV261" s="98"/>
      <c r="AW261" s="98"/>
      <c r="AX261" s="98"/>
      <c r="AY261" s="98"/>
      <c r="AZ261" s="98"/>
      <c r="BA261" s="98"/>
      <c r="BB261" s="98"/>
      <c r="BC261" s="98"/>
      <c r="BD261" s="98"/>
      <c r="BE261" s="98"/>
      <c r="BF261" s="98"/>
      <c r="BG261" s="98"/>
      <c r="BH261" s="98"/>
      <c r="BI261" s="98"/>
      <c r="BJ261" s="98"/>
      <c r="BK261" s="98"/>
      <c r="BL261" s="98"/>
      <c r="BM261" s="98"/>
      <c r="BN261" s="98"/>
      <c r="BO261" s="98"/>
      <c r="BP261" s="98"/>
      <c r="BQ261" s="98"/>
      <c r="BR261" s="98"/>
      <c r="BS261" s="98"/>
      <c r="BT261" s="98"/>
      <c r="BU261" s="98"/>
      <c r="BV261" s="98"/>
      <c r="BW261" s="98"/>
      <c r="BX261" s="98"/>
      <c r="BY261" s="98"/>
      <c r="BZ261" s="98"/>
      <c r="CA261" s="98"/>
      <c r="CB261" s="98"/>
      <c r="CC261" s="98"/>
    </row>
    <row r="262" ht="15.75" customHeight="1">
      <c r="A262" s="98"/>
      <c r="B262" s="98"/>
      <c r="C262" s="98"/>
      <c r="D262" s="98"/>
      <c r="E262" s="98"/>
      <c r="F262" s="98"/>
      <c r="G262" s="98"/>
      <c r="H262" s="98"/>
      <c r="I262" s="99"/>
      <c r="J262" s="99"/>
      <c r="K262" s="99"/>
      <c r="L262" s="99"/>
      <c r="M262" s="99"/>
      <c r="N262" s="99"/>
      <c r="O262" s="99"/>
      <c r="P262" s="162"/>
      <c r="Q262" s="163"/>
      <c r="R262" s="163"/>
      <c r="S262" s="163"/>
      <c r="T262" s="164"/>
      <c r="U262" s="163"/>
      <c r="V262" s="163"/>
      <c r="W262" s="164"/>
      <c r="X262" s="98"/>
      <c r="Y262" s="98"/>
      <c r="Z262" s="98"/>
      <c r="AA262" s="98"/>
      <c r="AB262" s="98"/>
      <c r="AC262" s="98"/>
      <c r="AD262" s="98"/>
      <c r="AE262" s="98"/>
      <c r="AF262" s="98"/>
      <c r="AG262" s="98"/>
      <c r="AH262" s="98"/>
      <c r="AI262" s="98"/>
      <c r="AJ262" s="98"/>
      <c r="AK262" s="98"/>
      <c r="AL262" s="98"/>
      <c r="AM262" s="98"/>
      <c r="AN262" s="98"/>
      <c r="AO262" s="98"/>
      <c r="AP262" s="98"/>
      <c r="AQ262" s="98"/>
      <c r="AR262" s="98"/>
      <c r="AS262" s="98"/>
      <c r="AT262" s="98"/>
      <c r="AU262" s="98"/>
      <c r="AV262" s="98"/>
      <c r="AW262" s="98"/>
      <c r="AX262" s="98"/>
      <c r="AY262" s="98"/>
      <c r="AZ262" s="98"/>
      <c r="BA262" s="98"/>
      <c r="BB262" s="98"/>
      <c r="BC262" s="98"/>
      <c r="BD262" s="98"/>
      <c r="BE262" s="98"/>
      <c r="BF262" s="98"/>
      <c r="BG262" s="98"/>
      <c r="BH262" s="98"/>
      <c r="BI262" s="98"/>
      <c r="BJ262" s="98"/>
      <c r="BK262" s="98"/>
      <c r="BL262" s="98"/>
      <c r="BM262" s="98"/>
      <c r="BN262" s="98"/>
      <c r="BO262" s="98"/>
      <c r="BP262" s="98"/>
      <c r="BQ262" s="98"/>
      <c r="BR262" s="98"/>
      <c r="BS262" s="98"/>
      <c r="BT262" s="98"/>
      <c r="BU262" s="98"/>
      <c r="BV262" s="98"/>
      <c r="BW262" s="98"/>
      <c r="BX262" s="98"/>
      <c r="BY262" s="98"/>
      <c r="BZ262" s="98"/>
      <c r="CA262" s="98"/>
      <c r="CB262" s="98"/>
      <c r="CC262" s="98"/>
    </row>
    <row r="263" ht="15.75" customHeight="1">
      <c r="A263" s="98"/>
      <c r="B263" s="98"/>
      <c r="C263" s="98"/>
      <c r="D263" s="98"/>
      <c r="E263" s="98"/>
      <c r="F263" s="98"/>
      <c r="G263" s="98"/>
      <c r="H263" s="98"/>
      <c r="I263" s="99"/>
      <c r="J263" s="99"/>
      <c r="K263" s="99"/>
      <c r="L263" s="99"/>
      <c r="M263" s="99"/>
      <c r="N263" s="99"/>
      <c r="O263" s="99"/>
      <c r="P263" s="162"/>
      <c r="Q263" s="163"/>
      <c r="R263" s="163"/>
      <c r="S263" s="163"/>
      <c r="T263" s="164"/>
      <c r="U263" s="163"/>
      <c r="V263" s="163"/>
      <c r="W263" s="164"/>
      <c r="X263" s="98"/>
      <c r="Y263" s="98"/>
      <c r="Z263" s="98"/>
      <c r="AA263" s="98"/>
      <c r="AB263" s="98"/>
      <c r="AC263" s="98"/>
      <c r="AD263" s="98"/>
      <c r="AE263" s="98"/>
      <c r="AF263" s="98"/>
      <c r="AG263" s="98"/>
      <c r="AH263" s="98"/>
      <c r="AI263" s="98"/>
      <c r="AJ263" s="98"/>
      <c r="AK263" s="98"/>
      <c r="AL263" s="98"/>
      <c r="AM263" s="98"/>
      <c r="AN263" s="98"/>
      <c r="AO263" s="98"/>
      <c r="AP263" s="98"/>
      <c r="AQ263" s="98"/>
      <c r="AR263" s="98"/>
      <c r="AS263" s="98"/>
      <c r="AT263" s="98"/>
      <c r="AU263" s="98"/>
      <c r="AV263" s="98"/>
      <c r="AW263" s="98"/>
      <c r="AX263" s="98"/>
      <c r="AY263" s="98"/>
      <c r="AZ263" s="98"/>
      <c r="BA263" s="98"/>
      <c r="BB263" s="98"/>
      <c r="BC263" s="98"/>
      <c r="BD263" s="98"/>
      <c r="BE263" s="98"/>
      <c r="BF263" s="98"/>
      <c r="BG263" s="98"/>
      <c r="BH263" s="98"/>
      <c r="BI263" s="98"/>
      <c r="BJ263" s="98"/>
      <c r="BK263" s="98"/>
      <c r="BL263" s="98"/>
      <c r="BM263" s="98"/>
      <c r="BN263" s="98"/>
      <c r="BO263" s="98"/>
      <c r="BP263" s="98"/>
      <c r="BQ263" s="98"/>
      <c r="BR263" s="98"/>
      <c r="BS263" s="98"/>
      <c r="BT263" s="98"/>
      <c r="BU263" s="98"/>
      <c r="BV263" s="98"/>
      <c r="BW263" s="98"/>
      <c r="BX263" s="98"/>
      <c r="BY263" s="98"/>
      <c r="BZ263" s="98"/>
      <c r="CA263" s="98"/>
      <c r="CB263" s="98"/>
      <c r="CC263" s="98"/>
    </row>
    <row r="264" ht="15.75" customHeight="1">
      <c r="A264" s="98"/>
      <c r="B264" s="98"/>
      <c r="C264" s="98"/>
      <c r="D264" s="98"/>
      <c r="E264" s="98"/>
      <c r="F264" s="98"/>
      <c r="G264" s="98"/>
      <c r="H264" s="98"/>
      <c r="I264" s="99"/>
      <c r="J264" s="99"/>
      <c r="K264" s="99"/>
      <c r="L264" s="99"/>
      <c r="M264" s="99"/>
      <c r="N264" s="99"/>
      <c r="O264" s="99"/>
      <c r="P264" s="162"/>
      <c r="Q264" s="163"/>
      <c r="R264" s="163"/>
      <c r="S264" s="163"/>
      <c r="T264" s="164"/>
      <c r="U264" s="163"/>
      <c r="V264" s="163"/>
      <c r="W264" s="164"/>
      <c r="X264" s="98"/>
      <c r="Y264" s="98"/>
      <c r="Z264" s="98"/>
      <c r="AA264" s="98"/>
      <c r="AB264" s="98"/>
      <c r="AC264" s="98"/>
      <c r="AD264" s="98"/>
      <c r="AE264" s="98"/>
      <c r="AF264" s="98"/>
      <c r="AG264" s="98"/>
      <c r="AH264" s="98"/>
      <c r="AI264" s="98"/>
      <c r="AJ264" s="98"/>
      <c r="AK264" s="98"/>
      <c r="AL264" s="98"/>
      <c r="AM264" s="98"/>
      <c r="AN264" s="98"/>
      <c r="AO264" s="98"/>
      <c r="AP264" s="98"/>
      <c r="AQ264" s="98"/>
      <c r="AR264" s="98"/>
      <c r="AS264" s="98"/>
      <c r="AT264" s="98"/>
      <c r="AU264" s="98"/>
      <c r="AV264" s="98"/>
      <c r="AW264" s="98"/>
      <c r="AX264" s="98"/>
      <c r="AY264" s="98"/>
      <c r="AZ264" s="98"/>
      <c r="BA264" s="98"/>
      <c r="BB264" s="98"/>
      <c r="BC264" s="98"/>
      <c r="BD264" s="98"/>
      <c r="BE264" s="98"/>
      <c r="BF264" s="98"/>
      <c r="BG264" s="98"/>
      <c r="BH264" s="98"/>
      <c r="BI264" s="98"/>
      <c r="BJ264" s="98"/>
      <c r="BK264" s="98"/>
      <c r="BL264" s="98"/>
      <c r="BM264" s="98"/>
      <c r="BN264" s="98"/>
      <c r="BO264" s="98"/>
      <c r="BP264" s="98"/>
      <c r="BQ264" s="98"/>
      <c r="BR264" s="98"/>
      <c r="BS264" s="98"/>
      <c r="BT264" s="98"/>
      <c r="BU264" s="98"/>
      <c r="BV264" s="98"/>
      <c r="BW264" s="98"/>
      <c r="BX264" s="98"/>
      <c r="BY264" s="98"/>
      <c r="BZ264" s="98"/>
      <c r="CA264" s="98"/>
      <c r="CB264" s="98"/>
      <c r="CC264" s="98"/>
    </row>
    <row r="265" ht="15.75" customHeight="1">
      <c r="A265" s="98"/>
      <c r="B265" s="98"/>
      <c r="C265" s="98"/>
      <c r="D265" s="98"/>
      <c r="E265" s="98"/>
      <c r="F265" s="98"/>
      <c r="G265" s="98"/>
      <c r="H265" s="98"/>
      <c r="I265" s="99"/>
      <c r="J265" s="99"/>
      <c r="K265" s="99"/>
      <c r="L265" s="99"/>
      <c r="M265" s="99"/>
      <c r="N265" s="99"/>
      <c r="O265" s="99"/>
      <c r="P265" s="162"/>
      <c r="Q265" s="163"/>
      <c r="R265" s="163"/>
      <c r="S265" s="163"/>
      <c r="T265" s="164"/>
      <c r="U265" s="163"/>
      <c r="V265" s="163"/>
      <c r="W265" s="164"/>
      <c r="X265" s="98"/>
      <c r="Y265" s="98"/>
      <c r="Z265" s="98"/>
      <c r="AA265" s="98"/>
      <c r="AB265" s="98"/>
      <c r="AC265" s="98"/>
      <c r="AD265" s="98"/>
      <c r="AE265" s="98"/>
      <c r="AF265" s="98"/>
      <c r="AG265" s="98"/>
      <c r="AH265" s="98"/>
      <c r="AI265" s="98"/>
      <c r="AJ265" s="98"/>
      <c r="AK265" s="98"/>
      <c r="AL265" s="98"/>
      <c r="AM265" s="98"/>
      <c r="AN265" s="98"/>
      <c r="AO265" s="98"/>
      <c r="AP265" s="98"/>
      <c r="AQ265" s="98"/>
      <c r="AR265" s="98"/>
      <c r="AS265" s="98"/>
      <c r="AT265" s="98"/>
      <c r="AU265" s="98"/>
      <c r="AV265" s="98"/>
      <c r="AW265" s="98"/>
      <c r="AX265" s="98"/>
      <c r="AY265" s="98"/>
      <c r="AZ265" s="98"/>
      <c r="BA265" s="98"/>
      <c r="BB265" s="98"/>
      <c r="BC265" s="98"/>
      <c r="BD265" s="98"/>
      <c r="BE265" s="98"/>
      <c r="BF265" s="98"/>
      <c r="BG265" s="98"/>
      <c r="BH265" s="98"/>
      <c r="BI265" s="98"/>
      <c r="BJ265" s="98"/>
      <c r="BK265" s="98"/>
      <c r="BL265" s="98"/>
      <c r="BM265" s="98"/>
      <c r="BN265" s="98"/>
      <c r="BO265" s="98"/>
      <c r="BP265" s="98"/>
      <c r="BQ265" s="98"/>
      <c r="BR265" s="98"/>
      <c r="BS265" s="98"/>
      <c r="BT265" s="98"/>
      <c r="BU265" s="98"/>
      <c r="BV265" s="98"/>
      <c r="BW265" s="98"/>
      <c r="BX265" s="98"/>
      <c r="BY265" s="98"/>
      <c r="BZ265" s="98"/>
      <c r="CA265" s="98"/>
      <c r="CB265" s="98"/>
      <c r="CC265" s="98"/>
    </row>
    <row r="266" ht="15.75" customHeight="1">
      <c r="A266" s="98"/>
      <c r="B266" s="98"/>
      <c r="C266" s="98"/>
      <c r="D266" s="98"/>
      <c r="E266" s="98"/>
      <c r="F266" s="98"/>
      <c r="G266" s="98"/>
      <c r="H266" s="98"/>
      <c r="I266" s="99"/>
      <c r="J266" s="99"/>
      <c r="K266" s="99"/>
      <c r="L266" s="99"/>
      <c r="M266" s="99"/>
      <c r="N266" s="99"/>
      <c r="O266" s="99"/>
      <c r="P266" s="162"/>
      <c r="Q266" s="163"/>
      <c r="R266" s="163"/>
      <c r="S266" s="163"/>
      <c r="T266" s="164"/>
      <c r="U266" s="163"/>
      <c r="V266" s="163"/>
      <c r="W266" s="164"/>
      <c r="X266" s="98"/>
      <c r="Y266" s="98"/>
      <c r="Z266" s="98"/>
      <c r="AA266" s="98"/>
      <c r="AB266" s="98"/>
      <c r="AC266" s="98"/>
      <c r="AD266" s="98"/>
      <c r="AE266" s="98"/>
      <c r="AF266" s="98"/>
      <c r="AG266" s="98"/>
      <c r="AH266" s="98"/>
      <c r="AI266" s="98"/>
      <c r="AJ266" s="98"/>
      <c r="AK266" s="98"/>
      <c r="AL266" s="98"/>
      <c r="AM266" s="98"/>
      <c r="AN266" s="98"/>
      <c r="AO266" s="98"/>
      <c r="AP266" s="98"/>
      <c r="AQ266" s="98"/>
      <c r="AR266" s="98"/>
      <c r="AS266" s="98"/>
      <c r="AT266" s="98"/>
      <c r="AU266" s="98"/>
      <c r="AV266" s="98"/>
      <c r="AW266" s="98"/>
      <c r="AX266" s="98"/>
      <c r="AY266" s="98"/>
      <c r="AZ266" s="98"/>
      <c r="BA266" s="98"/>
      <c r="BB266" s="98"/>
      <c r="BC266" s="98"/>
      <c r="BD266" s="98"/>
      <c r="BE266" s="98"/>
      <c r="BF266" s="98"/>
      <c r="BG266" s="98"/>
      <c r="BH266" s="98"/>
      <c r="BI266" s="98"/>
      <c r="BJ266" s="98"/>
      <c r="BK266" s="98"/>
      <c r="BL266" s="98"/>
      <c r="BM266" s="98"/>
      <c r="BN266" s="98"/>
      <c r="BO266" s="98"/>
      <c r="BP266" s="98"/>
      <c r="BQ266" s="98"/>
      <c r="BR266" s="98"/>
      <c r="BS266" s="98"/>
      <c r="BT266" s="98"/>
      <c r="BU266" s="98"/>
      <c r="BV266" s="98"/>
      <c r="BW266" s="98"/>
      <c r="BX266" s="98"/>
      <c r="BY266" s="98"/>
      <c r="BZ266" s="98"/>
      <c r="CA266" s="98"/>
      <c r="CB266" s="98"/>
      <c r="CC266" s="98"/>
    </row>
    <row r="267" ht="15.75" customHeight="1">
      <c r="A267" s="98"/>
      <c r="B267" s="98"/>
      <c r="C267" s="98"/>
      <c r="D267" s="98"/>
      <c r="E267" s="98"/>
      <c r="F267" s="98"/>
      <c r="G267" s="98"/>
      <c r="H267" s="98"/>
      <c r="I267" s="99"/>
      <c r="J267" s="99"/>
      <c r="K267" s="99"/>
      <c r="L267" s="99"/>
      <c r="M267" s="99"/>
      <c r="N267" s="99"/>
      <c r="O267" s="99"/>
      <c r="P267" s="162"/>
      <c r="Q267" s="163"/>
      <c r="R267" s="163"/>
      <c r="S267" s="163"/>
      <c r="T267" s="164"/>
      <c r="U267" s="163"/>
      <c r="V267" s="163"/>
      <c r="W267" s="164"/>
      <c r="X267" s="98"/>
      <c r="Y267" s="98"/>
      <c r="Z267" s="98"/>
      <c r="AA267" s="98"/>
      <c r="AB267" s="98"/>
      <c r="AC267" s="98"/>
      <c r="AD267" s="98"/>
      <c r="AE267" s="98"/>
      <c r="AF267" s="98"/>
      <c r="AG267" s="98"/>
      <c r="AH267" s="98"/>
      <c r="AI267" s="98"/>
      <c r="AJ267" s="98"/>
      <c r="AK267" s="98"/>
      <c r="AL267" s="98"/>
      <c r="AM267" s="98"/>
      <c r="AN267" s="98"/>
      <c r="AO267" s="98"/>
      <c r="AP267" s="98"/>
      <c r="AQ267" s="98"/>
      <c r="AR267" s="98"/>
      <c r="AS267" s="98"/>
      <c r="AT267" s="98"/>
      <c r="AU267" s="98"/>
      <c r="AV267" s="98"/>
      <c r="AW267" s="98"/>
      <c r="AX267" s="98"/>
      <c r="AY267" s="98"/>
      <c r="AZ267" s="98"/>
      <c r="BA267" s="98"/>
      <c r="BB267" s="98"/>
      <c r="BC267" s="98"/>
      <c r="BD267" s="98"/>
      <c r="BE267" s="98"/>
      <c r="BF267" s="98"/>
      <c r="BG267" s="98"/>
      <c r="BH267" s="98"/>
      <c r="BI267" s="98"/>
      <c r="BJ267" s="98"/>
      <c r="BK267" s="98"/>
      <c r="BL267" s="98"/>
      <c r="BM267" s="98"/>
      <c r="BN267" s="98"/>
      <c r="BO267" s="98"/>
      <c r="BP267" s="98"/>
      <c r="BQ267" s="98"/>
      <c r="BR267" s="98"/>
      <c r="BS267" s="98"/>
      <c r="BT267" s="98"/>
      <c r="BU267" s="98"/>
      <c r="BV267" s="98"/>
      <c r="BW267" s="98"/>
      <c r="BX267" s="98"/>
      <c r="BY267" s="98"/>
      <c r="BZ267" s="98"/>
      <c r="CA267" s="98"/>
      <c r="CB267" s="98"/>
      <c r="CC267" s="98"/>
    </row>
    <row r="268" ht="15.75" customHeight="1">
      <c r="A268" s="98"/>
      <c r="B268" s="98"/>
      <c r="C268" s="98"/>
      <c r="D268" s="98"/>
      <c r="E268" s="98"/>
      <c r="F268" s="98"/>
      <c r="G268" s="98"/>
      <c r="H268" s="98"/>
      <c r="I268" s="99"/>
      <c r="J268" s="99"/>
      <c r="K268" s="99"/>
      <c r="L268" s="99"/>
      <c r="M268" s="99"/>
      <c r="N268" s="99"/>
      <c r="O268" s="99"/>
      <c r="P268" s="162"/>
      <c r="Q268" s="163"/>
      <c r="R268" s="163"/>
      <c r="S268" s="163"/>
      <c r="T268" s="164"/>
      <c r="U268" s="163"/>
      <c r="V268" s="163"/>
      <c r="W268" s="164"/>
      <c r="X268" s="98"/>
      <c r="Y268" s="98"/>
      <c r="Z268" s="98"/>
      <c r="AA268" s="98"/>
      <c r="AB268" s="98"/>
      <c r="AC268" s="98"/>
      <c r="AD268" s="98"/>
      <c r="AE268" s="98"/>
      <c r="AF268" s="98"/>
      <c r="AG268" s="98"/>
      <c r="AH268" s="98"/>
      <c r="AI268" s="98"/>
      <c r="AJ268" s="98"/>
      <c r="AK268" s="98"/>
      <c r="AL268" s="98"/>
      <c r="AM268" s="98"/>
      <c r="AN268" s="98"/>
      <c r="AO268" s="98"/>
      <c r="AP268" s="98"/>
      <c r="AQ268" s="98"/>
      <c r="AR268" s="98"/>
      <c r="AS268" s="98"/>
      <c r="AT268" s="98"/>
      <c r="AU268" s="98"/>
      <c r="AV268" s="98"/>
      <c r="AW268" s="98"/>
      <c r="AX268" s="98"/>
      <c r="AY268" s="98"/>
      <c r="AZ268" s="98"/>
      <c r="BA268" s="98"/>
      <c r="BB268" s="98"/>
      <c r="BC268" s="98"/>
      <c r="BD268" s="98"/>
      <c r="BE268" s="98"/>
      <c r="BF268" s="98"/>
      <c r="BG268" s="98"/>
      <c r="BH268" s="98"/>
      <c r="BI268" s="98"/>
      <c r="BJ268" s="98"/>
      <c r="BK268" s="98"/>
      <c r="BL268" s="98"/>
      <c r="BM268" s="98"/>
      <c r="BN268" s="98"/>
      <c r="BO268" s="98"/>
      <c r="BP268" s="98"/>
      <c r="BQ268" s="98"/>
      <c r="BR268" s="98"/>
      <c r="BS268" s="98"/>
      <c r="BT268" s="98"/>
      <c r="BU268" s="98"/>
      <c r="BV268" s="98"/>
      <c r="BW268" s="98"/>
      <c r="BX268" s="98"/>
      <c r="BY268" s="98"/>
      <c r="BZ268" s="98"/>
      <c r="CA268" s="98"/>
      <c r="CB268" s="98"/>
      <c r="CC268" s="98"/>
    </row>
    <row r="269" ht="15.75" customHeight="1">
      <c r="A269" s="98"/>
      <c r="B269" s="98"/>
      <c r="C269" s="98"/>
      <c r="D269" s="98"/>
      <c r="E269" s="98"/>
      <c r="F269" s="98"/>
      <c r="G269" s="98"/>
      <c r="H269" s="98"/>
      <c r="I269" s="99"/>
      <c r="J269" s="99"/>
      <c r="K269" s="99"/>
      <c r="L269" s="99"/>
      <c r="M269" s="99"/>
      <c r="N269" s="99"/>
      <c r="O269" s="99"/>
      <c r="P269" s="162"/>
      <c r="Q269" s="163"/>
      <c r="R269" s="163"/>
      <c r="S269" s="163"/>
      <c r="T269" s="164"/>
      <c r="U269" s="163"/>
      <c r="V269" s="163"/>
      <c r="W269" s="164"/>
      <c r="X269" s="98"/>
      <c r="Y269" s="98"/>
      <c r="Z269" s="98"/>
      <c r="AA269" s="98"/>
      <c r="AB269" s="98"/>
      <c r="AC269" s="98"/>
      <c r="AD269" s="98"/>
      <c r="AE269" s="98"/>
      <c r="AF269" s="98"/>
      <c r="AG269" s="98"/>
      <c r="AH269" s="98"/>
      <c r="AI269" s="98"/>
      <c r="AJ269" s="98"/>
      <c r="AK269" s="98"/>
      <c r="AL269" s="98"/>
      <c r="AM269" s="98"/>
      <c r="AN269" s="98"/>
      <c r="AO269" s="98"/>
      <c r="AP269" s="98"/>
      <c r="AQ269" s="98"/>
      <c r="AR269" s="98"/>
      <c r="AS269" s="98"/>
      <c r="AT269" s="98"/>
      <c r="AU269" s="98"/>
      <c r="AV269" s="98"/>
      <c r="AW269" s="98"/>
      <c r="AX269" s="98"/>
      <c r="AY269" s="98"/>
      <c r="AZ269" s="98"/>
      <c r="BA269" s="98"/>
      <c r="BB269" s="98"/>
      <c r="BC269" s="98"/>
      <c r="BD269" s="98"/>
      <c r="BE269" s="98"/>
      <c r="BF269" s="98"/>
      <c r="BG269" s="98"/>
      <c r="BH269" s="98"/>
      <c r="BI269" s="98"/>
      <c r="BJ269" s="98"/>
      <c r="BK269" s="98"/>
      <c r="BL269" s="98"/>
      <c r="BM269" s="98"/>
      <c r="BN269" s="98"/>
      <c r="BO269" s="98"/>
      <c r="BP269" s="98"/>
      <c r="BQ269" s="98"/>
      <c r="BR269" s="98"/>
      <c r="BS269" s="98"/>
      <c r="BT269" s="98"/>
      <c r="BU269" s="98"/>
      <c r="BV269" s="98"/>
      <c r="BW269" s="98"/>
      <c r="BX269" s="98"/>
      <c r="BY269" s="98"/>
      <c r="BZ269" s="98"/>
      <c r="CA269" s="98"/>
      <c r="CB269" s="98"/>
      <c r="CC269" s="98"/>
    </row>
    <row r="270" ht="15.75" customHeight="1">
      <c r="A270" s="98"/>
      <c r="B270" s="98"/>
      <c r="C270" s="98"/>
      <c r="D270" s="98"/>
      <c r="E270" s="98"/>
      <c r="F270" s="98"/>
      <c r="G270" s="98"/>
      <c r="H270" s="98"/>
      <c r="I270" s="99"/>
      <c r="J270" s="99"/>
      <c r="K270" s="99"/>
      <c r="L270" s="99"/>
      <c r="M270" s="99"/>
      <c r="N270" s="99"/>
      <c r="O270" s="99"/>
      <c r="P270" s="162"/>
      <c r="Q270" s="163"/>
      <c r="R270" s="163"/>
      <c r="S270" s="163"/>
      <c r="T270" s="164"/>
      <c r="U270" s="163"/>
      <c r="V270" s="163"/>
      <c r="W270" s="164"/>
      <c r="X270" s="98"/>
      <c r="Y270" s="98"/>
      <c r="Z270" s="98"/>
      <c r="AA270" s="98"/>
      <c r="AB270" s="98"/>
      <c r="AC270" s="98"/>
      <c r="AD270" s="98"/>
      <c r="AE270" s="98"/>
      <c r="AF270" s="98"/>
      <c r="AG270" s="98"/>
      <c r="AH270" s="98"/>
      <c r="AI270" s="98"/>
      <c r="AJ270" s="98"/>
      <c r="AK270" s="98"/>
      <c r="AL270" s="98"/>
      <c r="AM270" s="98"/>
      <c r="AN270" s="98"/>
      <c r="AO270" s="98"/>
      <c r="AP270" s="98"/>
      <c r="AQ270" s="98"/>
      <c r="AR270" s="98"/>
      <c r="AS270" s="98"/>
      <c r="AT270" s="98"/>
      <c r="AU270" s="98"/>
      <c r="AV270" s="98"/>
      <c r="AW270" s="98"/>
      <c r="AX270" s="98"/>
      <c r="AY270" s="98"/>
      <c r="AZ270" s="98"/>
      <c r="BA270" s="98"/>
      <c r="BB270" s="98"/>
      <c r="BC270" s="98"/>
      <c r="BD270" s="98"/>
      <c r="BE270" s="98"/>
      <c r="BF270" s="98"/>
      <c r="BG270" s="98"/>
      <c r="BH270" s="98"/>
      <c r="BI270" s="98"/>
      <c r="BJ270" s="98"/>
      <c r="BK270" s="98"/>
      <c r="BL270" s="98"/>
      <c r="BM270" s="98"/>
      <c r="BN270" s="98"/>
      <c r="BO270" s="98"/>
      <c r="BP270" s="98"/>
      <c r="BQ270" s="98"/>
      <c r="BR270" s="98"/>
      <c r="BS270" s="98"/>
      <c r="BT270" s="98"/>
      <c r="BU270" s="98"/>
      <c r="BV270" s="98"/>
      <c r="BW270" s="98"/>
      <c r="BX270" s="98"/>
      <c r="BY270" s="98"/>
      <c r="BZ270" s="98"/>
      <c r="CA270" s="98"/>
      <c r="CB270" s="98"/>
      <c r="CC270" s="98"/>
    </row>
    <row r="271" ht="15.75" customHeight="1">
      <c r="A271" s="98"/>
      <c r="B271" s="98"/>
      <c r="C271" s="98"/>
      <c r="D271" s="98"/>
      <c r="E271" s="98"/>
      <c r="F271" s="98"/>
      <c r="G271" s="98"/>
      <c r="H271" s="98"/>
      <c r="I271" s="99"/>
      <c r="J271" s="99"/>
      <c r="K271" s="99"/>
      <c r="L271" s="99"/>
      <c r="M271" s="99"/>
      <c r="N271" s="99"/>
      <c r="O271" s="99"/>
      <c r="P271" s="162"/>
      <c r="Q271" s="163"/>
      <c r="R271" s="163"/>
      <c r="S271" s="163"/>
      <c r="T271" s="164"/>
      <c r="U271" s="163"/>
      <c r="V271" s="163"/>
      <c r="W271" s="164"/>
      <c r="X271" s="98"/>
      <c r="Y271" s="98"/>
      <c r="Z271" s="98"/>
      <c r="AA271" s="98"/>
      <c r="AB271" s="98"/>
      <c r="AC271" s="98"/>
      <c r="AD271" s="98"/>
      <c r="AE271" s="98"/>
      <c r="AF271" s="98"/>
      <c r="AG271" s="98"/>
      <c r="AH271" s="98"/>
      <c r="AI271" s="98"/>
      <c r="AJ271" s="98"/>
      <c r="AK271" s="98"/>
      <c r="AL271" s="98"/>
      <c r="AM271" s="98"/>
      <c r="AN271" s="98"/>
      <c r="AO271" s="98"/>
      <c r="AP271" s="98"/>
      <c r="AQ271" s="98"/>
      <c r="AR271" s="98"/>
      <c r="AS271" s="98"/>
      <c r="AT271" s="98"/>
      <c r="AU271" s="98"/>
      <c r="AV271" s="98"/>
      <c r="AW271" s="98"/>
      <c r="AX271" s="98"/>
      <c r="AY271" s="98"/>
      <c r="AZ271" s="98"/>
      <c r="BA271" s="98"/>
      <c r="BB271" s="98"/>
      <c r="BC271" s="98"/>
      <c r="BD271" s="98"/>
      <c r="BE271" s="98"/>
      <c r="BF271" s="98"/>
      <c r="BG271" s="98"/>
      <c r="BH271" s="98"/>
      <c r="BI271" s="98"/>
      <c r="BJ271" s="98"/>
      <c r="BK271" s="98"/>
      <c r="BL271" s="98"/>
      <c r="BM271" s="98"/>
      <c r="BN271" s="98"/>
      <c r="BO271" s="98"/>
      <c r="BP271" s="98"/>
      <c r="BQ271" s="98"/>
      <c r="BR271" s="98"/>
      <c r="BS271" s="98"/>
      <c r="BT271" s="98"/>
      <c r="BU271" s="98"/>
      <c r="BV271" s="98"/>
      <c r="BW271" s="98"/>
      <c r="BX271" s="98"/>
      <c r="BY271" s="98"/>
      <c r="BZ271" s="98"/>
      <c r="CA271" s="98"/>
      <c r="CB271" s="98"/>
      <c r="CC271" s="98"/>
    </row>
    <row r="272" ht="15.75" customHeight="1">
      <c r="A272" s="98"/>
      <c r="B272" s="98"/>
      <c r="C272" s="98"/>
      <c r="D272" s="98"/>
      <c r="E272" s="98"/>
      <c r="F272" s="98"/>
      <c r="G272" s="98"/>
      <c r="H272" s="98"/>
      <c r="I272" s="99"/>
      <c r="J272" s="99"/>
      <c r="K272" s="99"/>
      <c r="L272" s="99"/>
      <c r="M272" s="99"/>
      <c r="N272" s="99"/>
      <c r="O272" s="99"/>
      <c r="P272" s="162"/>
      <c r="Q272" s="163"/>
      <c r="R272" s="163"/>
      <c r="S272" s="163"/>
      <c r="T272" s="164"/>
      <c r="U272" s="163"/>
      <c r="V272" s="163"/>
      <c r="W272" s="164"/>
      <c r="X272" s="98"/>
      <c r="Y272" s="98"/>
      <c r="Z272" s="98"/>
      <c r="AA272" s="98"/>
      <c r="AB272" s="98"/>
      <c r="AC272" s="98"/>
      <c r="AD272" s="98"/>
      <c r="AE272" s="98"/>
      <c r="AF272" s="98"/>
      <c r="AG272" s="98"/>
      <c r="AH272" s="98"/>
      <c r="AI272" s="98"/>
      <c r="AJ272" s="98"/>
      <c r="AK272" s="98"/>
      <c r="AL272" s="98"/>
      <c r="AM272" s="98"/>
      <c r="AN272" s="98"/>
      <c r="AO272" s="98"/>
      <c r="AP272" s="98"/>
      <c r="AQ272" s="98"/>
      <c r="AR272" s="98"/>
      <c r="AS272" s="98"/>
      <c r="AT272" s="98"/>
      <c r="AU272" s="98"/>
      <c r="AV272" s="98"/>
      <c r="AW272" s="98"/>
      <c r="AX272" s="98"/>
      <c r="AY272" s="98"/>
      <c r="AZ272" s="98"/>
      <c r="BA272" s="98"/>
      <c r="BB272" s="98"/>
      <c r="BC272" s="98"/>
      <c r="BD272" s="98"/>
      <c r="BE272" s="98"/>
      <c r="BF272" s="98"/>
      <c r="BG272" s="98"/>
      <c r="BH272" s="98"/>
      <c r="BI272" s="98"/>
      <c r="BJ272" s="98"/>
      <c r="BK272" s="98"/>
      <c r="BL272" s="98"/>
      <c r="BM272" s="98"/>
      <c r="BN272" s="98"/>
      <c r="BO272" s="98"/>
      <c r="BP272" s="98"/>
      <c r="BQ272" s="98"/>
      <c r="BR272" s="98"/>
      <c r="BS272" s="98"/>
      <c r="BT272" s="98"/>
      <c r="BU272" s="98"/>
      <c r="BV272" s="98"/>
      <c r="BW272" s="98"/>
      <c r="BX272" s="98"/>
      <c r="BY272" s="98"/>
      <c r="BZ272" s="98"/>
      <c r="CA272" s="98"/>
      <c r="CB272" s="98"/>
      <c r="CC272" s="98"/>
    </row>
    <row r="273" ht="15.75" customHeight="1">
      <c r="A273" s="98"/>
      <c r="B273" s="98"/>
      <c r="C273" s="98"/>
      <c r="D273" s="98"/>
      <c r="E273" s="98"/>
      <c r="F273" s="98"/>
      <c r="G273" s="98"/>
      <c r="H273" s="98"/>
      <c r="I273" s="99"/>
      <c r="J273" s="99"/>
      <c r="K273" s="99"/>
      <c r="L273" s="99"/>
      <c r="M273" s="99"/>
      <c r="N273" s="99"/>
      <c r="O273" s="99"/>
      <c r="P273" s="162"/>
      <c r="Q273" s="163"/>
      <c r="R273" s="163"/>
      <c r="S273" s="163"/>
      <c r="T273" s="164"/>
      <c r="U273" s="163"/>
      <c r="V273" s="163"/>
      <c r="W273" s="164"/>
      <c r="X273" s="98"/>
      <c r="Y273" s="98"/>
      <c r="Z273" s="98"/>
      <c r="AA273" s="98"/>
      <c r="AB273" s="98"/>
      <c r="AC273" s="98"/>
      <c r="AD273" s="98"/>
      <c r="AE273" s="98"/>
      <c r="AF273" s="98"/>
      <c r="AG273" s="98"/>
      <c r="AH273" s="98"/>
      <c r="AI273" s="98"/>
      <c r="AJ273" s="98"/>
      <c r="AK273" s="98"/>
      <c r="AL273" s="98"/>
      <c r="AM273" s="98"/>
      <c r="AN273" s="98"/>
      <c r="AO273" s="98"/>
      <c r="AP273" s="98"/>
      <c r="AQ273" s="98"/>
      <c r="AR273" s="98"/>
      <c r="AS273" s="98"/>
      <c r="AT273" s="98"/>
      <c r="AU273" s="98"/>
      <c r="AV273" s="98"/>
      <c r="AW273" s="98"/>
      <c r="AX273" s="98"/>
      <c r="AY273" s="98"/>
      <c r="AZ273" s="98"/>
      <c r="BA273" s="98"/>
      <c r="BB273" s="98"/>
      <c r="BC273" s="98"/>
      <c r="BD273" s="98"/>
      <c r="BE273" s="98"/>
      <c r="BF273" s="98"/>
      <c r="BG273" s="98"/>
      <c r="BH273" s="98"/>
      <c r="BI273" s="98"/>
      <c r="BJ273" s="98"/>
      <c r="BK273" s="98"/>
      <c r="BL273" s="98"/>
      <c r="BM273" s="98"/>
      <c r="BN273" s="98"/>
      <c r="BO273" s="98"/>
      <c r="BP273" s="98"/>
      <c r="BQ273" s="98"/>
      <c r="BR273" s="98"/>
      <c r="BS273" s="98"/>
      <c r="BT273" s="98"/>
      <c r="BU273" s="98"/>
      <c r="BV273" s="98"/>
      <c r="BW273" s="98"/>
      <c r="BX273" s="98"/>
      <c r="BY273" s="98"/>
      <c r="BZ273" s="98"/>
      <c r="CA273" s="98"/>
      <c r="CB273" s="98"/>
      <c r="CC273" s="98"/>
    </row>
    <row r="274" ht="15.75" customHeight="1">
      <c r="A274" s="98"/>
      <c r="B274" s="98"/>
      <c r="C274" s="98"/>
      <c r="D274" s="98"/>
      <c r="E274" s="98"/>
      <c r="F274" s="98"/>
      <c r="G274" s="98"/>
      <c r="H274" s="98"/>
      <c r="I274" s="99"/>
      <c r="J274" s="99"/>
      <c r="K274" s="99"/>
      <c r="L274" s="99"/>
      <c r="M274" s="99"/>
      <c r="N274" s="99"/>
      <c r="O274" s="99"/>
      <c r="P274" s="162"/>
      <c r="Q274" s="163"/>
      <c r="R274" s="163"/>
      <c r="S274" s="163"/>
      <c r="T274" s="164"/>
      <c r="U274" s="163"/>
      <c r="V274" s="163"/>
      <c r="W274" s="164"/>
      <c r="X274" s="98"/>
      <c r="Y274" s="98"/>
      <c r="Z274" s="98"/>
      <c r="AA274" s="98"/>
      <c r="AB274" s="98"/>
      <c r="AC274" s="98"/>
      <c r="AD274" s="98"/>
      <c r="AE274" s="98"/>
      <c r="AF274" s="98"/>
      <c r="AG274" s="98"/>
      <c r="AH274" s="98"/>
      <c r="AI274" s="98"/>
      <c r="AJ274" s="98"/>
      <c r="AK274" s="98"/>
      <c r="AL274" s="98"/>
      <c r="AM274" s="98"/>
      <c r="AN274" s="98"/>
      <c r="AO274" s="98"/>
      <c r="AP274" s="98"/>
      <c r="AQ274" s="98"/>
      <c r="AR274" s="98"/>
      <c r="AS274" s="98"/>
      <c r="AT274" s="98"/>
      <c r="AU274" s="98"/>
      <c r="AV274" s="98"/>
      <c r="AW274" s="98"/>
      <c r="AX274" s="98"/>
      <c r="AY274" s="98"/>
      <c r="AZ274" s="98"/>
      <c r="BA274" s="98"/>
      <c r="BB274" s="98"/>
      <c r="BC274" s="98"/>
      <c r="BD274" s="98"/>
      <c r="BE274" s="98"/>
      <c r="BF274" s="98"/>
      <c r="BG274" s="98"/>
      <c r="BH274" s="98"/>
      <c r="BI274" s="98"/>
      <c r="BJ274" s="98"/>
      <c r="BK274" s="98"/>
      <c r="BL274" s="98"/>
      <c r="BM274" s="98"/>
      <c r="BN274" s="98"/>
      <c r="BO274" s="98"/>
      <c r="BP274" s="98"/>
      <c r="BQ274" s="98"/>
      <c r="BR274" s="98"/>
      <c r="BS274" s="98"/>
      <c r="BT274" s="98"/>
      <c r="BU274" s="98"/>
      <c r="BV274" s="98"/>
      <c r="BW274" s="98"/>
      <c r="BX274" s="98"/>
      <c r="BY274" s="98"/>
      <c r="BZ274" s="98"/>
      <c r="CA274" s="98"/>
      <c r="CB274" s="98"/>
      <c r="CC274" s="98"/>
    </row>
    <row r="275" ht="15.75" customHeight="1">
      <c r="A275" s="98"/>
      <c r="B275" s="98"/>
      <c r="C275" s="98"/>
      <c r="D275" s="98"/>
      <c r="E275" s="98"/>
      <c r="F275" s="98"/>
      <c r="G275" s="98"/>
      <c r="H275" s="98"/>
      <c r="I275" s="99"/>
      <c r="J275" s="99"/>
      <c r="K275" s="99"/>
      <c r="L275" s="99"/>
      <c r="M275" s="99"/>
      <c r="N275" s="99"/>
      <c r="O275" s="99"/>
      <c r="P275" s="162"/>
      <c r="Q275" s="163"/>
      <c r="R275" s="163"/>
      <c r="S275" s="163"/>
      <c r="T275" s="164"/>
      <c r="U275" s="163"/>
      <c r="V275" s="163"/>
      <c r="W275" s="164"/>
      <c r="X275" s="98"/>
      <c r="Y275" s="98"/>
      <c r="Z275" s="98"/>
      <c r="AA275" s="98"/>
      <c r="AB275" s="98"/>
      <c r="AC275" s="98"/>
      <c r="AD275" s="98"/>
      <c r="AE275" s="98"/>
      <c r="AF275" s="98"/>
      <c r="AG275" s="98"/>
      <c r="AH275" s="98"/>
      <c r="AI275" s="98"/>
      <c r="AJ275" s="98"/>
      <c r="AK275" s="98"/>
      <c r="AL275" s="98"/>
      <c r="AM275" s="98"/>
      <c r="AN275" s="98"/>
      <c r="AO275" s="98"/>
      <c r="AP275" s="98"/>
      <c r="AQ275" s="98"/>
      <c r="AR275" s="98"/>
      <c r="AS275" s="98"/>
      <c r="AT275" s="98"/>
      <c r="AU275" s="98"/>
      <c r="AV275" s="98"/>
      <c r="AW275" s="98"/>
      <c r="AX275" s="98"/>
      <c r="AY275" s="98"/>
      <c r="AZ275" s="98"/>
      <c r="BA275" s="98"/>
      <c r="BB275" s="98"/>
      <c r="BC275" s="98"/>
      <c r="BD275" s="98"/>
      <c r="BE275" s="98"/>
      <c r="BF275" s="98"/>
      <c r="BG275" s="98"/>
      <c r="BH275" s="98"/>
      <c r="BI275" s="98"/>
      <c r="BJ275" s="98"/>
      <c r="BK275" s="98"/>
      <c r="BL275" s="98"/>
      <c r="BM275" s="98"/>
      <c r="BN275" s="98"/>
      <c r="BO275" s="98"/>
      <c r="BP275" s="98"/>
      <c r="BQ275" s="98"/>
      <c r="BR275" s="98"/>
      <c r="BS275" s="98"/>
      <c r="BT275" s="98"/>
      <c r="BU275" s="98"/>
      <c r="BV275" s="98"/>
      <c r="BW275" s="98"/>
      <c r="BX275" s="98"/>
      <c r="BY275" s="98"/>
      <c r="BZ275" s="98"/>
      <c r="CA275" s="98"/>
      <c r="CB275" s="98"/>
      <c r="CC275" s="98"/>
    </row>
    <row r="276" ht="15.75" customHeight="1">
      <c r="A276" s="98"/>
      <c r="B276" s="98"/>
      <c r="C276" s="98"/>
      <c r="D276" s="98"/>
      <c r="E276" s="98"/>
      <c r="F276" s="98"/>
      <c r="G276" s="98"/>
      <c r="H276" s="98"/>
      <c r="I276" s="99"/>
      <c r="J276" s="99"/>
      <c r="K276" s="99"/>
      <c r="L276" s="99"/>
      <c r="M276" s="99"/>
      <c r="N276" s="99"/>
      <c r="O276" s="99"/>
      <c r="P276" s="162"/>
      <c r="Q276" s="163"/>
      <c r="R276" s="163"/>
      <c r="S276" s="163"/>
      <c r="T276" s="164"/>
      <c r="U276" s="163"/>
      <c r="V276" s="163"/>
      <c r="W276" s="164"/>
      <c r="X276" s="98"/>
      <c r="Y276" s="98"/>
      <c r="Z276" s="98"/>
      <c r="AA276" s="98"/>
      <c r="AB276" s="98"/>
      <c r="AC276" s="98"/>
      <c r="AD276" s="98"/>
      <c r="AE276" s="98"/>
      <c r="AF276" s="98"/>
      <c r="AG276" s="98"/>
      <c r="AH276" s="98"/>
      <c r="AI276" s="98"/>
      <c r="AJ276" s="98"/>
      <c r="AK276" s="98"/>
      <c r="AL276" s="98"/>
      <c r="AM276" s="98"/>
      <c r="AN276" s="98"/>
      <c r="AO276" s="98"/>
      <c r="AP276" s="98"/>
      <c r="AQ276" s="98"/>
      <c r="AR276" s="98"/>
      <c r="AS276" s="98"/>
      <c r="AT276" s="98"/>
      <c r="AU276" s="98"/>
      <c r="AV276" s="98"/>
      <c r="AW276" s="98"/>
      <c r="AX276" s="98"/>
      <c r="AY276" s="98"/>
      <c r="AZ276" s="98"/>
      <c r="BA276" s="98"/>
      <c r="BB276" s="98"/>
      <c r="BC276" s="98"/>
      <c r="BD276" s="98"/>
      <c r="BE276" s="98"/>
      <c r="BF276" s="98"/>
      <c r="BG276" s="98"/>
      <c r="BH276" s="98"/>
      <c r="BI276" s="98"/>
      <c r="BJ276" s="98"/>
      <c r="BK276" s="98"/>
      <c r="BL276" s="98"/>
      <c r="BM276" s="98"/>
      <c r="BN276" s="98"/>
      <c r="BO276" s="98"/>
      <c r="BP276" s="98"/>
      <c r="BQ276" s="98"/>
      <c r="BR276" s="98"/>
      <c r="BS276" s="98"/>
      <c r="BT276" s="98"/>
      <c r="BU276" s="98"/>
      <c r="BV276" s="98"/>
      <c r="BW276" s="98"/>
      <c r="BX276" s="98"/>
      <c r="BY276" s="98"/>
      <c r="BZ276" s="98"/>
      <c r="CA276" s="98"/>
      <c r="CB276" s="98"/>
      <c r="CC276" s="98"/>
    </row>
    <row r="277" ht="15.75" customHeight="1">
      <c r="A277" s="98"/>
      <c r="B277" s="98"/>
      <c r="C277" s="98"/>
      <c r="D277" s="98"/>
      <c r="E277" s="98"/>
      <c r="F277" s="98"/>
      <c r="G277" s="98"/>
      <c r="H277" s="98"/>
      <c r="I277" s="99"/>
      <c r="J277" s="99"/>
      <c r="K277" s="99"/>
      <c r="L277" s="99"/>
      <c r="M277" s="99"/>
      <c r="N277" s="99"/>
      <c r="O277" s="99"/>
      <c r="P277" s="162"/>
      <c r="Q277" s="163"/>
      <c r="R277" s="163"/>
      <c r="S277" s="163"/>
      <c r="T277" s="164"/>
      <c r="U277" s="163"/>
      <c r="V277" s="163"/>
      <c r="W277" s="164"/>
      <c r="X277" s="98"/>
      <c r="Y277" s="98"/>
      <c r="Z277" s="98"/>
      <c r="AA277" s="98"/>
      <c r="AB277" s="98"/>
      <c r="AC277" s="98"/>
      <c r="AD277" s="98"/>
      <c r="AE277" s="98"/>
      <c r="AF277" s="98"/>
      <c r="AG277" s="98"/>
      <c r="AH277" s="98"/>
      <c r="AI277" s="98"/>
      <c r="AJ277" s="98"/>
      <c r="AK277" s="98"/>
      <c r="AL277" s="98"/>
      <c r="AM277" s="98"/>
      <c r="AN277" s="98"/>
      <c r="AO277" s="98"/>
      <c r="AP277" s="98"/>
      <c r="AQ277" s="98"/>
      <c r="AR277" s="98"/>
      <c r="AS277" s="98"/>
      <c r="AT277" s="98"/>
      <c r="AU277" s="98"/>
      <c r="AV277" s="98"/>
      <c r="AW277" s="98"/>
      <c r="AX277" s="98"/>
      <c r="AY277" s="98"/>
      <c r="AZ277" s="98"/>
      <c r="BA277" s="98"/>
      <c r="BB277" s="98"/>
      <c r="BC277" s="98"/>
      <c r="BD277" s="98"/>
      <c r="BE277" s="98"/>
      <c r="BF277" s="98"/>
      <c r="BG277" s="98"/>
      <c r="BH277" s="98"/>
      <c r="BI277" s="98"/>
      <c r="BJ277" s="98"/>
      <c r="BK277" s="98"/>
      <c r="BL277" s="98"/>
      <c r="BM277" s="98"/>
      <c r="BN277" s="98"/>
      <c r="BO277" s="98"/>
      <c r="BP277" s="98"/>
      <c r="BQ277" s="98"/>
      <c r="BR277" s="98"/>
      <c r="BS277" s="98"/>
      <c r="BT277" s="98"/>
      <c r="BU277" s="98"/>
      <c r="BV277" s="98"/>
      <c r="BW277" s="98"/>
      <c r="BX277" s="98"/>
      <c r="BY277" s="98"/>
      <c r="BZ277" s="98"/>
      <c r="CA277" s="98"/>
      <c r="CB277" s="98"/>
      <c r="CC277" s="98"/>
    </row>
    <row r="278" ht="15.75" customHeight="1">
      <c r="A278" s="98"/>
      <c r="B278" s="98"/>
      <c r="C278" s="98"/>
      <c r="D278" s="98"/>
      <c r="E278" s="98"/>
      <c r="F278" s="98"/>
      <c r="G278" s="98"/>
      <c r="H278" s="98"/>
      <c r="I278" s="99"/>
      <c r="J278" s="99"/>
      <c r="K278" s="99"/>
      <c r="L278" s="99"/>
      <c r="M278" s="99"/>
      <c r="N278" s="99"/>
      <c r="O278" s="99"/>
      <c r="P278" s="162"/>
      <c r="Q278" s="163"/>
      <c r="R278" s="163"/>
      <c r="S278" s="163"/>
      <c r="T278" s="164"/>
      <c r="U278" s="163"/>
      <c r="V278" s="163"/>
      <c r="W278" s="164"/>
      <c r="X278" s="98"/>
      <c r="Y278" s="98"/>
      <c r="Z278" s="98"/>
      <c r="AA278" s="98"/>
      <c r="AB278" s="98"/>
      <c r="AC278" s="98"/>
      <c r="AD278" s="98"/>
      <c r="AE278" s="98"/>
      <c r="AF278" s="98"/>
      <c r="AG278" s="98"/>
      <c r="AH278" s="98"/>
      <c r="AI278" s="98"/>
      <c r="AJ278" s="98"/>
      <c r="AK278" s="98"/>
      <c r="AL278" s="98"/>
      <c r="AM278" s="98"/>
      <c r="AN278" s="98"/>
      <c r="AO278" s="98"/>
      <c r="AP278" s="98"/>
      <c r="AQ278" s="98"/>
      <c r="AR278" s="98"/>
      <c r="AS278" s="98"/>
      <c r="AT278" s="98"/>
      <c r="AU278" s="98"/>
      <c r="AV278" s="98"/>
      <c r="AW278" s="98"/>
      <c r="AX278" s="98"/>
      <c r="AY278" s="98"/>
      <c r="AZ278" s="98"/>
      <c r="BA278" s="98"/>
      <c r="BB278" s="98"/>
      <c r="BC278" s="98"/>
      <c r="BD278" s="98"/>
      <c r="BE278" s="98"/>
      <c r="BF278" s="98"/>
      <c r="BG278" s="98"/>
      <c r="BH278" s="98"/>
      <c r="BI278" s="98"/>
      <c r="BJ278" s="98"/>
      <c r="BK278" s="98"/>
      <c r="BL278" s="98"/>
      <c r="BM278" s="98"/>
      <c r="BN278" s="98"/>
      <c r="BO278" s="98"/>
      <c r="BP278" s="98"/>
      <c r="BQ278" s="98"/>
      <c r="BR278" s="98"/>
      <c r="BS278" s="98"/>
      <c r="BT278" s="98"/>
      <c r="BU278" s="98"/>
      <c r="BV278" s="98"/>
      <c r="BW278" s="98"/>
      <c r="BX278" s="98"/>
      <c r="BY278" s="98"/>
      <c r="BZ278" s="98"/>
      <c r="CA278" s="98"/>
      <c r="CB278" s="98"/>
      <c r="CC278" s="98"/>
    </row>
    <row r="279" ht="15.75" customHeight="1">
      <c r="P279" s="165"/>
      <c r="Q279" s="166"/>
      <c r="R279" s="166"/>
      <c r="S279" s="166"/>
      <c r="T279" s="166"/>
      <c r="U279" s="166"/>
      <c r="V279" s="166"/>
      <c r="W279" s="166"/>
    </row>
    <row r="280" ht="15.75" customHeight="1">
      <c r="P280" s="165"/>
      <c r="Q280" s="166"/>
      <c r="R280" s="166"/>
      <c r="S280" s="166"/>
      <c r="T280" s="166"/>
      <c r="U280" s="166"/>
      <c r="V280" s="166"/>
      <c r="W280" s="166"/>
    </row>
    <row r="281" ht="15.75" customHeight="1">
      <c r="P281" s="165"/>
      <c r="Q281" s="166"/>
      <c r="R281" s="166"/>
      <c r="S281" s="166"/>
      <c r="T281" s="166"/>
      <c r="U281" s="166"/>
      <c r="V281" s="166"/>
      <c r="W281" s="166"/>
    </row>
    <row r="282" ht="15.75" customHeight="1">
      <c r="P282" s="165"/>
      <c r="Q282" s="166"/>
      <c r="R282" s="166"/>
      <c r="S282" s="166"/>
      <c r="T282" s="166"/>
      <c r="U282" s="166"/>
      <c r="V282" s="166"/>
      <c r="W282" s="166"/>
    </row>
    <row r="283" ht="15.75" customHeight="1">
      <c r="P283" s="165"/>
      <c r="Q283" s="166"/>
      <c r="R283" s="166"/>
      <c r="S283" s="166"/>
      <c r="T283" s="166"/>
      <c r="U283" s="166"/>
      <c r="V283" s="166"/>
      <c r="W283" s="166"/>
    </row>
    <row r="284" ht="15.75" customHeight="1">
      <c r="P284" s="165"/>
      <c r="Q284" s="166"/>
      <c r="R284" s="166"/>
      <c r="S284" s="166"/>
      <c r="T284" s="166"/>
      <c r="U284" s="166"/>
      <c r="V284" s="166"/>
      <c r="W284" s="166"/>
    </row>
    <row r="285" ht="15.75" customHeight="1">
      <c r="P285" s="165"/>
      <c r="Q285" s="166"/>
      <c r="R285" s="166"/>
      <c r="S285" s="166"/>
      <c r="T285" s="166"/>
      <c r="U285" s="166"/>
      <c r="V285" s="166"/>
      <c r="W285" s="166"/>
    </row>
    <row r="286" ht="15.75" customHeight="1">
      <c r="P286" s="165"/>
      <c r="Q286" s="166"/>
      <c r="R286" s="166"/>
      <c r="S286" s="166"/>
      <c r="T286" s="166"/>
      <c r="U286" s="166"/>
      <c r="V286" s="166"/>
      <c r="W286" s="166"/>
    </row>
    <row r="287" ht="15.75" customHeight="1">
      <c r="P287" s="165"/>
      <c r="Q287" s="166"/>
      <c r="R287" s="166"/>
      <c r="S287" s="166"/>
      <c r="T287" s="166"/>
      <c r="U287" s="166"/>
      <c r="V287" s="166"/>
      <c r="W287" s="166"/>
    </row>
    <row r="288" ht="15.75" customHeight="1">
      <c r="P288" s="165"/>
      <c r="Q288" s="166"/>
      <c r="R288" s="166"/>
      <c r="S288" s="166"/>
      <c r="T288" s="166"/>
      <c r="U288" s="166"/>
      <c r="V288" s="166"/>
      <c r="W288" s="166"/>
    </row>
    <row r="289" ht="15.75" customHeight="1">
      <c r="P289" s="165"/>
      <c r="Q289" s="166"/>
      <c r="R289" s="166"/>
      <c r="S289" s="166"/>
      <c r="T289" s="166"/>
      <c r="U289" s="166"/>
      <c r="V289" s="166"/>
      <c r="W289" s="166"/>
    </row>
    <row r="290" ht="15.75" customHeight="1">
      <c r="P290" s="165"/>
      <c r="Q290" s="166"/>
      <c r="R290" s="166"/>
      <c r="S290" s="166"/>
      <c r="T290" s="166"/>
      <c r="U290" s="166"/>
      <c r="V290" s="166"/>
      <c r="W290" s="166"/>
    </row>
    <row r="291" ht="15.75" customHeight="1">
      <c r="P291" s="165"/>
      <c r="Q291" s="166"/>
      <c r="R291" s="166"/>
      <c r="S291" s="166"/>
      <c r="T291" s="166"/>
      <c r="U291" s="166"/>
      <c r="V291" s="166"/>
      <c r="W291" s="166"/>
    </row>
    <row r="292" ht="15.75" customHeight="1">
      <c r="P292" s="165"/>
      <c r="Q292" s="166"/>
      <c r="R292" s="166"/>
      <c r="S292" s="166"/>
      <c r="T292" s="166"/>
      <c r="U292" s="166"/>
      <c r="V292" s="166"/>
      <c r="W292" s="166"/>
    </row>
    <row r="293" ht="15.75" customHeight="1">
      <c r="P293" s="165"/>
      <c r="Q293" s="166"/>
      <c r="R293" s="166"/>
      <c r="S293" s="166"/>
      <c r="T293" s="166"/>
      <c r="U293" s="166"/>
      <c r="V293" s="166"/>
      <c r="W293" s="166"/>
    </row>
    <row r="294" ht="15.75" customHeight="1">
      <c r="P294" s="165"/>
      <c r="Q294" s="166"/>
      <c r="R294" s="166"/>
      <c r="S294" s="166"/>
      <c r="T294" s="166"/>
      <c r="U294" s="166"/>
      <c r="V294" s="166"/>
      <c r="W294" s="166"/>
    </row>
    <row r="295" ht="15.75" customHeight="1">
      <c r="P295" s="165"/>
      <c r="Q295" s="166"/>
      <c r="R295" s="166"/>
      <c r="S295" s="166"/>
      <c r="T295" s="166"/>
      <c r="U295" s="166"/>
      <c r="V295" s="166"/>
      <c r="W295" s="166"/>
    </row>
    <row r="296" ht="15.75" customHeight="1">
      <c r="P296" s="165"/>
      <c r="Q296" s="166"/>
      <c r="R296" s="166"/>
      <c r="S296" s="166"/>
      <c r="T296" s="166"/>
      <c r="U296" s="166"/>
      <c r="V296" s="166"/>
      <c r="W296" s="166"/>
    </row>
    <row r="297" ht="15.75" customHeight="1">
      <c r="P297" s="165"/>
      <c r="Q297" s="166"/>
      <c r="R297" s="166"/>
      <c r="S297" s="166"/>
      <c r="T297" s="166"/>
      <c r="U297" s="166"/>
      <c r="V297" s="166"/>
      <c r="W297" s="166"/>
    </row>
    <row r="298" ht="15.75" customHeight="1">
      <c r="P298" s="165"/>
      <c r="Q298" s="166"/>
      <c r="R298" s="166"/>
      <c r="S298" s="166"/>
      <c r="T298" s="166"/>
      <c r="U298" s="166"/>
      <c r="V298" s="166"/>
      <c r="W298" s="166"/>
    </row>
    <row r="299" ht="15.75" customHeight="1">
      <c r="P299" s="165"/>
      <c r="Q299" s="166"/>
      <c r="R299" s="166"/>
      <c r="S299" s="166"/>
      <c r="T299" s="166"/>
      <c r="U299" s="166"/>
      <c r="V299" s="166"/>
      <c r="W299" s="166"/>
    </row>
    <row r="300" ht="15.75" customHeight="1">
      <c r="P300" s="165"/>
      <c r="Q300" s="166"/>
      <c r="R300" s="166"/>
      <c r="S300" s="166"/>
      <c r="T300" s="166"/>
      <c r="U300" s="166"/>
      <c r="V300" s="166"/>
      <c r="W300" s="166"/>
    </row>
    <row r="301" ht="15.75" customHeight="1">
      <c r="P301" s="165"/>
      <c r="Q301" s="166"/>
      <c r="R301" s="166"/>
      <c r="S301" s="166"/>
      <c r="T301" s="166"/>
      <c r="U301" s="166"/>
      <c r="V301" s="166"/>
      <c r="W301" s="166"/>
    </row>
    <row r="302" ht="15.75" customHeight="1">
      <c r="P302" s="165"/>
      <c r="Q302" s="166"/>
      <c r="R302" s="166"/>
      <c r="S302" s="166"/>
      <c r="T302" s="166"/>
      <c r="U302" s="166"/>
      <c r="V302" s="166"/>
      <c r="W302" s="166"/>
    </row>
    <row r="303" ht="15.75" customHeight="1">
      <c r="P303" s="165"/>
      <c r="Q303" s="166"/>
      <c r="R303" s="166"/>
      <c r="S303" s="166"/>
      <c r="T303" s="166"/>
      <c r="U303" s="166"/>
      <c r="V303" s="166"/>
      <c r="W303" s="166"/>
    </row>
    <row r="304" ht="15.75" customHeight="1">
      <c r="P304" s="165"/>
      <c r="Q304" s="166"/>
      <c r="R304" s="166"/>
      <c r="S304" s="166"/>
      <c r="T304" s="166"/>
      <c r="U304" s="166"/>
      <c r="V304" s="166"/>
      <c r="W304" s="166"/>
    </row>
    <row r="305" ht="15.75" customHeight="1">
      <c r="P305" s="165"/>
      <c r="Q305" s="166"/>
      <c r="R305" s="166"/>
      <c r="S305" s="166"/>
      <c r="T305" s="166"/>
      <c r="U305" s="166"/>
      <c r="V305" s="166"/>
      <c r="W305" s="166"/>
    </row>
    <row r="306" ht="15.75" customHeight="1">
      <c r="P306" s="165"/>
      <c r="Q306" s="166"/>
      <c r="R306" s="166"/>
      <c r="S306" s="166"/>
      <c r="T306" s="166"/>
      <c r="U306" s="166"/>
      <c r="V306" s="166"/>
      <c r="W306" s="166"/>
    </row>
    <row r="307" ht="15.75" customHeight="1">
      <c r="P307" s="165"/>
      <c r="Q307" s="166"/>
      <c r="R307" s="166"/>
      <c r="S307" s="166"/>
      <c r="T307" s="166"/>
      <c r="U307" s="166"/>
      <c r="V307" s="166"/>
      <c r="W307" s="166"/>
    </row>
    <row r="308" ht="15.75" customHeight="1">
      <c r="P308" s="165"/>
      <c r="Q308" s="166"/>
      <c r="R308" s="166"/>
      <c r="S308" s="166"/>
      <c r="T308" s="166"/>
      <c r="U308" s="166"/>
      <c r="V308" s="166"/>
      <c r="W308" s="166"/>
    </row>
    <row r="309" ht="15.75" customHeight="1">
      <c r="P309" s="165"/>
      <c r="Q309" s="166"/>
      <c r="R309" s="166"/>
      <c r="S309" s="166"/>
      <c r="T309" s="166"/>
      <c r="U309" s="166"/>
      <c r="V309" s="166"/>
      <c r="W309" s="166"/>
    </row>
    <row r="310" ht="15.75" customHeight="1">
      <c r="P310" s="165"/>
      <c r="Q310" s="166"/>
      <c r="R310" s="166"/>
      <c r="S310" s="166"/>
      <c r="T310" s="166"/>
      <c r="U310" s="166"/>
      <c r="V310" s="166"/>
      <c r="W310" s="166"/>
    </row>
    <row r="311" ht="15.75" customHeight="1">
      <c r="P311" s="165"/>
      <c r="Q311" s="166"/>
      <c r="R311" s="166"/>
      <c r="S311" s="166"/>
      <c r="T311" s="166"/>
      <c r="U311" s="166"/>
      <c r="V311" s="166"/>
      <c r="W311" s="166"/>
    </row>
    <row r="312" ht="15.75" customHeight="1">
      <c r="P312" s="165"/>
      <c r="Q312" s="166"/>
      <c r="R312" s="166"/>
      <c r="S312" s="166"/>
      <c r="T312" s="166"/>
      <c r="U312" s="166"/>
      <c r="V312" s="166"/>
      <c r="W312" s="166"/>
    </row>
    <row r="313" ht="15.75" customHeight="1">
      <c r="P313" s="165"/>
      <c r="Q313" s="166"/>
      <c r="R313" s="166"/>
      <c r="S313" s="166"/>
      <c r="T313" s="166"/>
      <c r="U313" s="166"/>
      <c r="V313" s="166"/>
      <c r="W313" s="166"/>
    </row>
    <row r="314" ht="15.75" customHeight="1">
      <c r="P314" s="165"/>
      <c r="Q314" s="166"/>
      <c r="R314" s="166"/>
      <c r="S314" s="166"/>
      <c r="T314" s="166"/>
      <c r="U314" s="166"/>
      <c r="V314" s="166"/>
      <c r="W314" s="166"/>
    </row>
    <row r="315" ht="15.75" customHeight="1">
      <c r="P315" s="165"/>
      <c r="Q315" s="166"/>
      <c r="R315" s="166"/>
      <c r="S315" s="166"/>
      <c r="T315" s="166"/>
      <c r="U315" s="166"/>
      <c r="V315" s="166"/>
      <c r="W315" s="166"/>
    </row>
    <row r="316" ht="15.75" customHeight="1">
      <c r="P316" s="165"/>
      <c r="Q316" s="166"/>
      <c r="R316" s="166"/>
      <c r="S316" s="166"/>
      <c r="T316" s="166"/>
      <c r="U316" s="166"/>
      <c r="V316" s="166"/>
      <c r="W316" s="166"/>
    </row>
    <row r="317" ht="15.75" customHeight="1">
      <c r="P317" s="165"/>
      <c r="Q317" s="166"/>
      <c r="R317" s="166"/>
      <c r="S317" s="166"/>
      <c r="T317" s="166"/>
      <c r="U317" s="166"/>
      <c r="V317" s="166"/>
      <c r="W317" s="166"/>
    </row>
    <row r="318" ht="15.75" customHeight="1">
      <c r="P318" s="165"/>
      <c r="Q318" s="166"/>
      <c r="R318" s="166"/>
      <c r="S318" s="166"/>
      <c r="T318" s="166"/>
      <c r="U318" s="166"/>
      <c r="V318" s="166"/>
      <c r="W318" s="166"/>
    </row>
    <row r="319" ht="15.75" customHeight="1">
      <c r="P319" s="165"/>
      <c r="Q319" s="166"/>
      <c r="R319" s="166"/>
      <c r="S319" s="166"/>
      <c r="T319" s="166"/>
      <c r="U319" s="166"/>
      <c r="V319" s="166"/>
      <c r="W319" s="166"/>
    </row>
    <row r="320" ht="15.75" customHeight="1">
      <c r="P320" s="165"/>
      <c r="Q320" s="166"/>
      <c r="R320" s="166"/>
      <c r="S320" s="166"/>
      <c r="T320" s="166"/>
      <c r="U320" s="166"/>
      <c r="V320" s="166"/>
      <c r="W320" s="166"/>
    </row>
    <row r="321" ht="15.75" customHeight="1">
      <c r="P321" s="165"/>
      <c r="Q321" s="166"/>
      <c r="R321" s="166"/>
      <c r="S321" s="166"/>
      <c r="T321" s="166"/>
      <c r="U321" s="166"/>
      <c r="V321" s="166"/>
      <c r="W321" s="166"/>
    </row>
    <row r="322" ht="15.75" customHeight="1">
      <c r="P322" s="165"/>
      <c r="Q322" s="166"/>
      <c r="R322" s="166"/>
      <c r="S322" s="166"/>
      <c r="T322" s="166"/>
      <c r="U322" s="166"/>
      <c r="V322" s="166"/>
      <c r="W322" s="166"/>
    </row>
    <row r="323" ht="15.75" customHeight="1">
      <c r="P323" s="165"/>
      <c r="Q323" s="166"/>
      <c r="R323" s="166"/>
      <c r="S323" s="166"/>
      <c r="T323" s="166"/>
      <c r="U323" s="166"/>
      <c r="V323" s="166"/>
      <c r="W323" s="166"/>
    </row>
    <row r="324" ht="15.75" customHeight="1">
      <c r="P324" s="165"/>
      <c r="Q324" s="166"/>
      <c r="R324" s="166"/>
      <c r="S324" s="166"/>
      <c r="T324" s="166"/>
      <c r="U324" s="166"/>
      <c r="V324" s="166"/>
      <c r="W324" s="166"/>
    </row>
    <row r="325" ht="15.75" customHeight="1">
      <c r="P325" s="165"/>
      <c r="Q325" s="166"/>
      <c r="R325" s="166"/>
      <c r="S325" s="166"/>
      <c r="T325" s="166"/>
      <c r="U325" s="166"/>
      <c r="V325" s="166"/>
      <c r="W325" s="166"/>
    </row>
    <row r="326" ht="15.75" customHeight="1">
      <c r="P326" s="165"/>
      <c r="Q326" s="166"/>
      <c r="R326" s="166"/>
      <c r="S326" s="166"/>
      <c r="T326" s="166"/>
      <c r="U326" s="166"/>
      <c r="V326" s="166"/>
      <c r="W326" s="166"/>
    </row>
    <row r="327" ht="15.75" customHeight="1">
      <c r="P327" s="165"/>
      <c r="Q327" s="166"/>
      <c r="R327" s="166"/>
      <c r="S327" s="166"/>
      <c r="T327" s="166"/>
      <c r="U327" s="166"/>
      <c r="V327" s="166"/>
      <c r="W327" s="166"/>
    </row>
    <row r="328" ht="15.75" customHeight="1">
      <c r="P328" s="165"/>
      <c r="Q328" s="166"/>
      <c r="R328" s="166"/>
      <c r="S328" s="166"/>
      <c r="T328" s="166"/>
      <c r="U328" s="166"/>
      <c r="V328" s="166"/>
      <c r="W328" s="166"/>
    </row>
    <row r="329" ht="15.75" customHeight="1">
      <c r="P329" s="165"/>
      <c r="Q329" s="166"/>
      <c r="R329" s="166"/>
      <c r="S329" s="166"/>
      <c r="T329" s="166"/>
      <c r="U329" s="166"/>
      <c r="V329" s="166"/>
      <c r="W329" s="166"/>
    </row>
    <row r="330" ht="15.75" customHeight="1">
      <c r="P330" s="165"/>
      <c r="Q330" s="166"/>
      <c r="R330" s="166"/>
      <c r="S330" s="166"/>
      <c r="T330" s="166"/>
      <c r="U330" s="166"/>
      <c r="V330" s="166"/>
      <c r="W330" s="166"/>
    </row>
    <row r="331" ht="15.75" customHeight="1">
      <c r="P331" s="165"/>
      <c r="Q331" s="166"/>
      <c r="R331" s="166"/>
      <c r="S331" s="166"/>
      <c r="T331" s="166"/>
      <c r="U331" s="166"/>
      <c r="V331" s="166"/>
      <c r="W331" s="166"/>
    </row>
    <row r="332" ht="15.75" customHeight="1">
      <c r="P332" s="165"/>
      <c r="Q332" s="166"/>
      <c r="R332" s="166"/>
      <c r="S332" s="166"/>
      <c r="T332" s="166"/>
      <c r="U332" s="166"/>
      <c r="V332" s="166"/>
      <c r="W332" s="166"/>
    </row>
    <row r="333" ht="15.75" customHeight="1">
      <c r="P333" s="165"/>
      <c r="Q333" s="166"/>
      <c r="R333" s="166"/>
      <c r="S333" s="166"/>
      <c r="T333" s="166"/>
      <c r="U333" s="166"/>
      <c r="V333" s="166"/>
      <c r="W333" s="166"/>
    </row>
    <row r="334" ht="15.75" customHeight="1">
      <c r="P334" s="165"/>
      <c r="Q334" s="166"/>
      <c r="R334" s="166"/>
      <c r="S334" s="166"/>
      <c r="T334" s="166"/>
      <c r="U334" s="166"/>
      <c r="V334" s="166"/>
      <c r="W334" s="166"/>
    </row>
    <row r="335" ht="15.75" customHeight="1">
      <c r="P335" s="165"/>
      <c r="Q335" s="166"/>
      <c r="R335" s="166"/>
      <c r="S335" s="166"/>
      <c r="T335" s="166"/>
      <c r="U335" s="166"/>
      <c r="V335" s="166"/>
      <c r="W335" s="166"/>
    </row>
    <row r="336" ht="15.75" customHeight="1">
      <c r="P336" s="165"/>
      <c r="Q336" s="166"/>
      <c r="R336" s="166"/>
      <c r="S336" s="166"/>
      <c r="T336" s="166"/>
      <c r="U336" s="166"/>
      <c r="V336" s="166"/>
      <c r="W336" s="166"/>
    </row>
    <row r="337" ht="15.75" customHeight="1">
      <c r="P337" s="165"/>
      <c r="Q337" s="166"/>
      <c r="R337" s="166"/>
      <c r="S337" s="166"/>
      <c r="T337" s="166"/>
      <c r="U337" s="166"/>
      <c r="V337" s="166"/>
      <c r="W337" s="166"/>
    </row>
    <row r="338" ht="15.75" customHeight="1">
      <c r="P338" s="165"/>
      <c r="Q338" s="166"/>
      <c r="R338" s="166"/>
      <c r="S338" s="166"/>
      <c r="T338" s="166"/>
      <c r="U338" s="166"/>
      <c r="V338" s="166"/>
      <c r="W338" s="166"/>
    </row>
    <row r="339" ht="15.75" customHeight="1">
      <c r="P339" s="165"/>
      <c r="Q339" s="166"/>
      <c r="R339" s="166"/>
      <c r="S339" s="166"/>
      <c r="T339" s="166"/>
      <c r="U339" s="166"/>
      <c r="V339" s="166"/>
      <c r="W339" s="166"/>
    </row>
    <row r="340" ht="15.75" customHeight="1">
      <c r="P340" s="165"/>
      <c r="Q340" s="166"/>
      <c r="R340" s="166"/>
      <c r="S340" s="166"/>
      <c r="T340" s="166"/>
      <c r="U340" s="166"/>
      <c r="V340" s="166"/>
      <c r="W340" s="166"/>
    </row>
    <row r="341" ht="15.75" customHeight="1">
      <c r="P341" s="165"/>
      <c r="Q341" s="166"/>
      <c r="R341" s="166"/>
      <c r="S341" s="166"/>
      <c r="T341" s="166"/>
      <c r="U341" s="166"/>
      <c r="V341" s="166"/>
      <c r="W341" s="166"/>
    </row>
    <row r="342" ht="15.75" customHeight="1">
      <c r="P342" s="165"/>
      <c r="Q342" s="166"/>
      <c r="R342" s="166"/>
      <c r="S342" s="166"/>
      <c r="T342" s="166"/>
      <c r="U342" s="166"/>
      <c r="V342" s="166"/>
      <c r="W342" s="166"/>
    </row>
    <row r="343" ht="15.75" customHeight="1">
      <c r="P343" s="165"/>
      <c r="Q343" s="166"/>
      <c r="R343" s="166"/>
      <c r="S343" s="166"/>
      <c r="T343" s="166"/>
      <c r="U343" s="166"/>
      <c r="V343" s="166"/>
      <c r="W343" s="166"/>
    </row>
    <row r="344" ht="15.75" customHeight="1">
      <c r="P344" s="165"/>
      <c r="Q344" s="166"/>
      <c r="R344" s="166"/>
      <c r="S344" s="166"/>
      <c r="T344" s="166"/>
      <c r="U344" s="166"/>
      <c r="V344" s="166"/>
      <c r="W344" s="166"/>
    </row>
    <row r="345" ht="15.75" customHeight="1">
      <c r="P345" s="165"/>
      <c r="Q345" s="166"/>
      <c r="R345" s="166"/>
      <c r="S345" s="166"/>
      <c r="T345" s="166"/>
      <c r="U345" s="166"/>
      <c r="V345" s="166"/>
      <c r="W345" s="166"/>
    </row>
    <row r="346" ht="15.75" customHeight="1">
      <c r="P346" s="165"/>
      <c r="Q346" s="166"/>
      <c r="R346" s="166"/>
      <c r="S346" s="166"/>
      <c r="T346" s="166"/>
      <c r="U346" s="166"/>
      <c r="V346" s="166"/>
      <c r="W346" s="166"/>
    </row>
    <row r="347" ht="15.75" customHeight="1">
      <c r="P347" s="165"/>
      <c r="Q347" s="166"/>
      <c r="R347" s="166"/>
      <c r="S347" s="166"/>
      <c r="T347" s="166"/>
      <c r="U347" s="166"/>
      <c r="V347" s="166"/>
      <c r="W347" s="166"/>
    </row>
    <row r="348" ht="15.75" customHeight="1">
      <c r="P348" s="165"/>
      <c r="Q348" s="166"/>
      <c r="R348" s="166"/>
      <c r="S348" s="166"/>
      <c r="T348" s="166"/>
      <c r="U348" s="166"/>
      <c r="V348" s="166"/>
      <c r="W348" s="166"/>
    </row>
    <row r="349" ht="15.75" customHeight="1">
      <c r="P349" s="165"/>
      <c r="Q349" s="166"/>
      <c r="R349" s="166"/>
      <c r="S349" s="166"/>
      <c r="T349" s="166"/>
      <c r="U349" s="166"/>
      <c r="V349" s="166"/>
      <c r="W349" s="166"/>
    </row>
    <row r="350" ht="15.75" customHeight="1">
      <c r="P350" s="165"/>
      <c r="Q350" s="166"/>
      <c r="R350" s="166"/>
      <c r="S350" s="166"/>
      <c r="T350" s="166"/>
      <c r="U350" s="166"/>
      <c r="V350" s="166"/>
      <c r="W350" s="166"/>
    </row>
    <row r="351" ht="15.75" customHeight="1">
      <c r="P351" s="165"/>
      <c r="Q351" s="166"/>
      <c r="R351" s="166"/>
      <c r="S351" s="166"/>
      <c r="T351" s="166"/>
      <c r="U351" s="166"/>
      <c r="V351" s="166"/>
      <c r="W351" s="166"/>
    </row>
    <row r="352" ht="15.75" customHeight="1">
      <c r="P352" s="165"/>
      <c r="Q352" s="166"/>
      <c r="R352" s="166"/>
      <c r="S352" s="166"/>
      <c r="T352" s="166"/>
      <c r="U352" s="166"/>
      <c r="V352" s="166"/>
      <c r="W352" s="166"/>
    </row>
    <row r="353" ht="15.75" customHeight="1">
      <c r="P353" s="165"/>
      <c r="Q353" s="166"/>
      <c r="R353" s="166"/>
      <c r="S353" s="166"/>
      <c r="T353" s="166"/>
      <c r="U353" s="166"/>
      <c r="V353" s="166"/>
      <c r="W353" s="166"/>
    </row>
    <row r="354" ht="15.75" customHeight="1">
      <c r="P354" s="165"/>
      <c r="Q354" s="166"/>
      <c r="R354" s="166"/>
      <c r="S354" s="166"/>
      <c r="T354" s="166"/>
      <c r="U354" s="166"/>
      <c r="V354" s="166"/>
      <c r="W354" s="166"/>
    </row>
    <row r="355" ht="15.75" customHeight="1">
      <c r="P355" s="165"/>
      <c r="Q355" s="166"/>
      <c r="R355" s="166"/>
      <c r="S355" s="166"/>
      <c r="T355" s="166"/>
      <c r="U355" s="166"/>
      <c r="V355" s="166"/>
      <c r="W355" s="166"/>
    </row>
    <row r="356" ht="15.75" customHeight="1">
      <c r="P356" s="165"/>
      <c r="Q356" s="166"/>
      <c r="R356" s="166"/>
      <c r="S356" s="166"/>
      <c r="T356" s="166"/>
      <c r="U356" s="166"/>
      <c r="V356" s="166"/>
      <c r="W356" s="166"/>
    </row>
    <row r="357" ht="15.75" customHeight="1">
      <c r="P357" s="165"/>
      <c r="Q357" s="166"/>
      <c r="R357" s="166"/>
      <c r="S357" s="166"/>
      <c r="T357" s="166"/>
      <c r="U357" s="166"/>
      <c r="V357" s="166"/>
      <c r="W357" s="166"/>
    </row>
    <row r="358" ht="15.75" customHeight="1">
      <c r="P358" s="165"/>
      <c r="Q358" s="166"/>
      <c r="R358" s="166"/>
      <c r="S358" s="166"/>
      <c r="T358" s="166"/>
      <c r="U358" s="166"/>
      <c r="V358" s="166"/>
      <c r="W358" s="166"/>
    </row>
    <row r="359" ht="15.75" customHeight="1">
      <c r="P359" s="165"/>
      <c r="Q359" s="166"/>
      <c r="R359" s="166"/>
      <c r="S359" s="166"/>
      <c r="T359" s="166"/>
      <c r="U359" s="166"/>
      <c r="V359" s="166"/>
      <c r="W359" s="166"/>
    </row>
    <row r="360" ht="15.75" customHeight="1">
      <c r="P360" s="165"/>
      <c r="Q360" s="166"/>
      <c r="R360" s="166"/>
      <c r="S360" s="166"/>
      <c r="T360" s="166"/>
      <c r="U360" s="166"/>
      <c r="V360" s="166"/>
      <c r="W360" s="166"/>
    </row>
    <row r="361" ht="15.75" customHeight="1">
      <c r="P361" s="165"/>
      <c r="Q361" s="166"/>
      <c r="R361" s="166"/>
      <c r="S361" s="166"/>
      <c r="T361" s="166"/>
      <c r="U361" s="166"/>
      <c r="V361" s="166"/>
      <c r="W361" s="166"/>
    </row>
    <row r="362" ht="15.75" customHeight="1">
      <c r="P362" s="165"/>
      <c r="Q362" s="166"/>
      <c r="R362" s="166"/>
      <c r="S362" s="166"/>
      <c r="T362" s="166"/>
      <c r="U362" s="166"/>
      <c r="V362" s="166"/>
      <c r="W362" s="166"/>
    </row>
    <row r="363" ht="15.75" customHeight="1">
      <c r="P363" s="165"/>
      <c r="Q363" s="166"/>
      <c r="R363" s="166"/>
      <c r="S363" s="166"/>
      <c r="T363" s="166"/>
      <c r="U363" s="166"/>
      <c r="V363" s="166"/>
      <c r="W363" s="166"/>
    </row>
    <row r="364" ht="15.75" customHeight="1">
      <c r="P364" s="165"/>
      <c r="Q364" s="166"/>
      <c r="R364" s="166"/>
      <c r="S364" s="166"/>
      <c r="T364" s="166"/>
      <c r="U364" s="166"/>
      <c r="V364" s="166"/>
      <c r="W364" s="166"/>
    </row>
    <row r="365" ht="15.75" customHeight="1">
      <c r="P365" s="165"/>
      <c r="Q365" s="166"/>
      <c r="R365" s="166"/>
      <c r="S365" s="166"/>
      <c r="T365" s="166"/>
      <c r="U365" s="166"/>
      <c r="V365" s="166"/>
      <c r="W365" s="166"/>
    </row>
    <row r="366" ht="15.75" customHeight="1">
      <c r="P366" s="165"/>
      <c r="Q366" s="166"/>
      <c r="R366" s="166"/>
      <c r="S366" s="166"/>
      <c r="T366" s="166"/>
      <c r="U366" s="166"/>
      <c r="V366" s="166"/>
      <c r="W366" s="166"/>
    </row>
    <row r="367" ht="15.75" customHeight="1">
      <c r="P367" s="165"/>
      <c r="Q367" s="166"/>
      <c r="R367" s="166"/>
      <c r="S367" s="166"/>
      <c r="T367" s="166"/>
      <c r="U367" s="166"/>
      <c r="V367" s="166"/>
      <c r="W367" s="166"/>
    </row>
    <row r="368" ht="15.75" customHeight="1">
      <c r="P368" s="165"/>
      <c r="Q368" s="166"/>
      <c r="R368" s="166"/>
      <c r="S368" s="166"/>
      <c r="T368" s="166"/>
      <c r="U368" s="166"/>
      <c r="V368" s="166"/>
      <c r="W368" s="166"/>
    </row>
    <row r="369" ht="15.75" customHeight="1">
      <c r="P369" s="165"/>
      <c r="Q369" s="166"/>
      <c r="R369" s="166"/>
      <c r="S369" s="166"/>
      <c r="T369" s="166"/>
      <c r="U369" s="166"/>
      <c r="V369" s="166"/>
      <c r="W369" s="166"/>
    </row>
    <row r="370" ht="15.75" customHeight="1">
      <c r="P370" s="165"/>
      <c r="Q370" s="166"/>
      <c r="R370" s="166"/>
      <c r="S370" s="166"/>
      <c r="T370" s="166"/>
      <c r="U370" s="166"/>
      <c r="V370" s="166"/>
      <c r="W370" s="166"/>
    </row>
    <row r="371" ht="15.75" customHeight="1">
      <c r="P371" s="165"/>
      <c r="Q371" s="166"/>
      <c r="R371" s="166"/>
      <c r="S371" s="166"/>
      <c r="T371" s="166"/>
      <c r="U371" s="166"/>
      <c r="V371" s="166"/>
      <c r="W371" s="166"/>
    </row>
    <row r="372" ht="15.75" customHeight="1">
      <c r="P372" s="165"/>
      <c r="Q372" s="166"/>
      <c r="R372" s="166"/>
      <c r="S372" s="166"/>
      <c r="T372" s="166"/>
      <c r="U372" s="166"/>
      <c r="V372" s="166"/>
      <c r="W372" s="166"/>
    </row>
    <row r="373" ht="15.75" customHeight="1">
      <c r="P373" s="165"/>
      <c r="Q373" s="166"/>
      <c r="R373" s="166"/>
      <c r="S373" s="166"/>
      <c r="T373" s="166"/>
      <c r="U373" s="166"/>
      <c r="V373" s="166"/>
      <c r="W373" s="166"/>
    </row>
    <row r="374" ht="15.75" customHeight="1">
      <c r="P374" s="165"/>
      <c r="Q374" s="166"/>
      <c r="R374" s="166"/>
      <c r="S374" s="166"/>
      <c r="T374" s="166"/>
      <c r="U374" s="166"/>
      <c r="V374" s="166"/>
      <c r="W374" s="166"/>
    </row>
    <row r="375" ht="15.75" customHeight="1">
      <c r="P375" s="165"/>
      <c r="Q375" s="166"/>
      <c r="R375" s="166"/>
      <c r="S375" s="166"/>
      <c r="T375" s="166"/>
      <c r="U375" s="166"/>
      <c r="V375" s="166"/>
      <c r="W375" s="166"/>
    </row>
    <row r="376" ht="15.75" customHeight="1">
      <c r="P376" s="165"/>
      <c r="Q376" s="166"/>
      <c r="R376" s="166"/>
      <c r="S376" s="166"/>
      <c r="T376" s="166"/>
      <c r="U376" s="166"/>
      <c r="V376" s="166"/>
      <c r="W376" s="166"/>
    </row>
    <row r="377" ht="15.75" customHeight="1">
      <c r="P377" s="165"/>
      <c r="Q377" s="166"/>
      <c r="R377" s="166"/>
      <c r="S377" s="166"/>
      <c r="T377" s="166"/>
      <c r="U377" s="166"/>
      <c r="V377" s="166"/>
      <c r="W377" s="166"/>
    </row>
    <row r="378" ht="15.75" customHeight="1">
      <c r="P378" s="165"/>
      <c r="Q378" s="166"/>
      <c r="R378" s="166"/>
      <c r="S378" s="166"/>
      <c r="T378" s="166"/>
      <c r="U378" s="166"/>
      <c r="V378" s="166"/>
      <c r="W378" s="166"/>
    </row>
    <row r="379" ht="15.75" customHeight="1">
      <c r="P379" s="165"/>
      <c r="Q379" s="166"/>
      <c r="R379" s="166"/>
      <c r="S379" s="166"/>
      <c r="T379" s="166"/>
      <c r="U379" s="166"/>
      <c r="V379" s="166"/>
      <c r="W379" s="166"/>
    </row>
    <row r="380" ht="15.75" customHeight="1">
      <c r="P380" s="165"/>
      <c r="Q380" s="166"/>
      <c r="R380" s="166"/>
      <c r="S380" s="166"/>
      <c r="T380" s="166"/>
      <c r="U380" s="166"/>
      <c r="V380" s="166"/>
      <c r="W380" s="166"/>
    </row>
    <row r="381" ht="15.75" customHeight="1">
      <c r="P381" s="165"/>
      <c r="Q381" s="166"/>
      <c r="R381" s="166"/>
      <c r="S381" s="166"/>
      <c r="T381" s="166"/>
      <c r="U381" s="166"/>
      <c r="V381" s="166"/>
      <c r="W381" s="166"/>
    </row>
    <row r="382" ht="15.75" customHeight="1">
      <c r="P382" s="165"/>
      <c r="Q382" s="166"/>
      <c r="R382" s="166"/>
      <c r="S382" s="166"/>
      <c r="T382" s="166"/>
      <c r="U382" s="166"/>
      <c r="V382" s="166"/>
      <c r="W382" s="166"/>
    </row>
    <row r="383" ht="15.75" customHeight="1">
      <c r="P383" s="165"/>
      <c r="Q383" s="166"/>
      <c r="R383" s="166"/>
      <c r="S383" s="166"/>
      <c r="T383" s="166"/>
      <c r="U383" s="166"/>
      <c r="V383" s="166"/>
      <c r="W383" s="166"/>
    </row>
    <row r="384" ht="15.75" customHeight="1">
      <c r="P384" s="165"/>
      <c r="Q384" s="166"/>
      <c r="R384" s="166"/>
      <c r="S384" s="166"/>
      <c r="T384" s="166"/>
      <c r="U384" s="166"/>
      <c r="V384" s="166"/>
      <c r="W384" s="166"/>
    </row>
    <row r="385" ht="15.75" customHeight="1">
      <c r="P385" s="165"/>
      <c r="Q385" s="166"/>
      <c r="R385" s="166"/>
      <c r="S385" s="166"/>
      <c r="T385" s="166"/>
      <c r="U385" s="166"/>
      <c r="V385" s="166"/>
      <c r="W385" s="166"/>
    </row>
    <row r="386" ht="15.75" customHeight="1">
      <c r="P386" s="165"/>
      <c r="Q386" s="166"/>
      <c r="R386" s="166"/>
      <c r="S386" s="166"/>
      <c r="T386" s="166"/>
      <c r="U386" s="166"/>
      <c r="V386" s="166"/>
      <c r="W386" s="166"/>
    </row>
    <row r="387" ht="15.75" customHeight="1">
      <c r="P387" s="165"/>
      <c r="Q387" s="166"/>
      <c r="R387" s="166"/>
      <c r="S387" s="166"/>
      <c r="T387" s="166"/>
      <c r="U387" s="166"/>
      <c r="V387" s="166"/>
      <c r="W387" s="166"/>
    </row>
    <row r="388" ht="15.75" customHeight="1">
      <c r="P388" s="165"/>
      <c r="Q388" s="166"/>
      <c r="R388" s="166"/>
      <c r="S388" s="166"/>
      <c r="T388" s="166"/>
      <c r="U388" s="166"/>
      <c r="V388" s="166"/>
      <c r="W388" s="166"/>
    </row>
    <row r="389" ht="15.75" customHeight="1">
      <c r="P389" s="165"/>
      <c r="Q389" s="166"/>
      <c r="R389" s="166"/>
      <c r="S389" s="166"/>
      <c r="T389" s="166"/>
      <c r="U389" s="166"/>
      <c r="V389" s="166"/>
      <c r="W389" s="166"/>
    </row>
    <row r="390" ht="15.75" customHeight="1">
      <c r="P390" s="165"/>
      <c r="Q390" s="166"/>
      <c r="R390" s="166"/>
      <c r="S390" s="166"/>
      <c r="T390" s="166"/>
      <c r="U390" s="166"/>
      <c r="V390" s="166"/>
      <c r="W390" s="166"/>
    </row>
    <row r="391" ht="15.75" customHeight="1">
      <c r="P391" s="165"/>
      <c r="Q391" s="166"/>
      <c r="R391" s="166"/>
      <c r="S391" s="166"/>
      <c r="T391" s="166"/>
      <c r="U391" s="166"/>
      <c r="V391" s="166"/>
      <c r="W391" s="166"/>
    </row>
    <row r="392" ht="15.75" customHeight="1">
      <c r="P392" s="165"/>
      <c r="Q392" s="166"/>
      <c r="R392" s="166"/>
      <c r="S392" s="166"/>
      <c r="T392" s="166"/>
      <c r="U392" s="166"/>
      <c r="V392" s="166"/>
      <c r="W392" s="166"/>
    </row>
    <row r="393" ht="15.75" customHeight="1">
      <c r="P393" s="165"/>
      <c r="Q393" s="166"/>
      <c r="R393" s="166"/>
      <c r="S393" s="166"/>
      <c r="T393" s="166"/>
      <c r="U393" s="166"/>
      <c r="V393" s="166"/>
      <c r="W393" s="166"/>
    </row>
    <row r="394" ht="15.75" customHeight="1">
      <c r="P394" s="165"/>
      <c r="Q394" s="166"/>
      <c r="R394" s="166"/>
      <c r="S394" s="166"/>
      <c r="T394" s="166"/>
      <c r="U394" s="166"/>
      <c r="V394" s="166"/>
      <c r="W394" s="166"/>
    </row>
    <row r="395" ht="15.75" customHeight="1">
      <c r="P395" s="165"/>
      <c r="Q395" s="166"/>
      <c r="R395" s="166"/>
      <c r="S395" s="166"/>
      <c r="T395" s="166"/>
      <c r="U395" s="166"/>
      <c r="V395" s="166"/>
      <c r="W395" s="166"/>
    </row>
    <row r="396" ht="15.75" customHeight="1">
      <c r="P396" s="165"/>
      <c r="Q396" s="166"/>
      <c r="R396" s="166"/>
      <c r="S396" s="166"/>
      <c r="T396" s="166"/>
      <c r="U396" s="166"/>
      <c r="V396" s="166"/>
      <c r="W396" s="166"/>
    </row>
    <row r="397" ht="15.75" customHeight="1">
      <c r="P397" s="165"/>
      <c r="Q397" s="166"/>
      <c r="R397" s="166"/>
      <c r="S397" s="166"/>
      <c r="T397" s="166"/>
      <c r="U397" s="166"/>
      <c r="V397" s="166"/>
      <c r="W397" s="166"/>
    </row>
    <row r="398" ht="15.75" customHeight="1">
      <c r="P398" s="165"/>
      <c r="Q398" s="166"/>
      <c r="R398" s="166"/>
      <c r="S398" s="166"/>
      <c r="T398" s="166"/>
      <c r="U398" s="166"/>
      <c r="V398" s="166"/>
      <c r="W398" s="166"/>
    </row>
    <row r="399" ht="15.75" customHeight="1">
      <c r="P399" s="165"/>
      <c r="Q399" s="166"/>
      <c r="R399" s="166"/>
      <c r="S399" s="166"/>
      <c r="T399" s="166"/>
      <c r="U399" s="166"/>
      <c r="V399" s="166"/>
      <c r="W399" s="166"/>
    </row>
    <row r="400" ht="15.75" customHeight="1">
      <c r="P400" s="165"/>
      <c r="Q400" s="166"/>
      <c r="R400" s="166"/>
      <c r="S400" s="166"/>
      <c r="T400" s="166"/>
      <c r="U400" s="166"/>
      <c r="V400" s="166"/>
      <c r="W400" s="166"/>
    </row>
    <row r="401" ht="15.75" customHeight="1">
      <c r="P401" s="165"/>
      <c r="Q401" s="166"/>
      <c r="R401" s="166"/>
      <c r="S401" s="166"/>
      <c r="T401" s="166"/>
      <c r="U401" s="166"/>
      <c r="V401" s="166"/>
      <c r="W401" s="166"/>
    </row>
    <row r="402" ht="15.75" customHeight="1">
      <c r="P402" s="165"/>
      <c r="Q402" s="166"/>
      <c r="R402" s="166"/>
      <c r="S402" s="166"/>
      <c r="T402" s="166"/>
      <c r="U402" s="166"/>
      <c r="V402" s="166"/>
      <c r="W402" s="166"/>
    </row>
    <row r="403" ht="15.75" customHeight="1">
      <c r="P403" s="165"/>
      <c r="Q403" s="166"/>
      <c r="R403" s="166"/>
      <c r="S403" s="166"/>
      <c r="T403" s="166"/>
      <c r="U403" s="166"/>
      <c r="V403" s="166"/>
      <c r="W403" s="166"/>
    </row>
    <row r="404" ht="15.75" customHeight="1">
      <c r="P404" s="165"/>
      <c r="Q404" s="166"/>
      <c r="R404" s="166"/>
      <c r="S404" s="166"/>
      <c r="T404" s="166"/>
      <c r="U404" s="166"/>
      <c r="V404" s="166"/>
      <c r="W404" s="166"/>
    </row>
    <row r="405" ht="15.75" customHeight="1">
      <c r="P405" s="165"/>
      <c r="Q405" s="166"/>
      <c r="R405" s="166"/>
      <c r="S405" s="166"/>
      <c r="T405" s="166"/>
      <c r="U405" s="166"/>
      <c r="V405" s="166"/>
      <c r="W405" s="166"/>
    </row>
    <row r="406" ht="15.75" customHeight="1">
      <c r="P406" s="165"/>
      <c r="Q406" s="166"/>
      <c r="R406" s="166"/>
      <c r="S406" s="166"/>
      <c r="T406" s="166"/>
      <c r="U406" s="166"/>
      <c r="V406" s="166"/>
      <c r="W406" s="166"/>
    </row>
    <row r="407" ht="15.75" customHeight="1">
      <c r="P407" s="165"/>
      <c r="Q407" s="166"/>
      <c r="R407" s="166"/>
      <c r="S407" s="166"/>
      <c r="T407" s="166"/>
      <c r="U407" s="166"/>
      <c r="V407" s="166"/>
      <c r="W407" s="166"/>
    </row>
    <row r="408" ht="15.75" customHeight="1">
      <c r="P408" s="165"/>
      <c r="Q408" s="166"/>
      <c r="R408" s="166"/>
      <c r="S408" s="166"/>
      <c r="T408" s="166"/>
      <c r="U408" s="166"/>
      <c r="V408" s="166"/>
      <c r="W408" s="166"/>
    </row>
    <row r="409" ht="15.75" customHeight="1">
      <c r="P409" s="165"/>
      <c r="Q409" s="166"/>
      <c r="R409" s="166"/>
      <c r="S409" s="166"/>
      <c r="T409" s="166"/>
      <c r="U409" s="166"/>
      <c r="V409" s="166"/>
      <c r="W409" s="166"/>
    </row>
    <row r="410" ht="15.75" customHeight="1">
      <c r="P410" s="165"/>
      <c r="Q410" s="166"/>
      <c r="R410" s="166"/>
      <c r="S410" s="166"/>
      <c r="T410" s="166"/>
      <c r="U410" s="166"/>
      <c r="V410" s="166"/>
      <c r="W410" s="166"/>
    </row>
    <row r="411" ht="15.75" customHeight="1">
      <c r="P411" s="165"/>
      <c r="Q411" s="166"/>
      <c r="R411" s="166"/>
      <c r="S411" s="166"/>
      <c r="T411" s="166"/>
      <c r="U411" s="166"/>
      <c r="V411" s="166"/>
      <c r="W411" s="166"/>
    </row>
    <row r="412" ht="15.75" customHeight="1">
      <c r="P412" s="165"/>
      <c r="Q412" s="166"/>
      <c r="R412" s="166"/>
      <c r="S412" s="166"/>
      <c r="T412" s="166"/>
      <c r="U412" s="166"/>
      <c r="V412" s="166"/>
      <c r="W412" s="166"/>
    </row>
    <row r="413" ht="15.75" customHeight="1">
      <c r="P413" s="165"/>
      <c r="Q413" s="166"/>
      <c r="R413" s="166"/>
      <c r="S413" s="166"/>
      <c r="T413" s="166"/>
      <c r="U413" s="166"/>
      <c r="V413" s="166"/>
      <c r="W413" s="166"/>
    </row>
    <row r="414" ht="15.75" customHeight="1">
      <c r="P414" s="165"/>
      <c r="Q414" s="166"/>
      <c r="R414" s="166"/>
      <c r="S414" s="166"/>
      <c r="T414" s="166"/>
      <c r="U414" s="166"/>
      <c r="V414" s="166"/>
      <c r="W414" s="166"/>
    </row>
    <row r="415" ht="15.75" customHeight="1">
      <c r="P415" s="165"/>
      <c r="Q415" s="166"/>
      <c r="R415" s="166"/>
      <c r="S415" s="166"/>
      <c r="T415" s="166"/>
      <c r="U415" s="166"/>
      <c r="V415" s="166"/>
      <c r="W415" s="166"/>
    </row>
    <row r="416" ht="15.75" customHeight="1">
      <c r="P416" s="165"/>
      <c r="Q416" s="166"/>
      <c r="R416" s="166"/>
      <c r="S416" s="166"/>
      <c r="T416" s="166"/>
      <c r="U416" s="166"/>
      <c r="V416" s="166"/>
      <c r="W416" s="166"/>
    </row>
    <row r="417" ht="15.75" customHeight="1">
      <c r="P417" s="165"/>
      <c r="Q417" s="166"/>
      <c r="R417" s="166"/>
      <c r="S417" s="166"/>
      <c r="T417" s="166"/>
      <c r="U417" s="166"/>
      <c r="V417" s="166"/>
      <c r="W417" s="166"/>
    </row>
    <row r="418" ht="15.75" customHeight="1">
      <c r="P418" s="165"/>
      <c r="Q418" s="166"/>
      <c r="R418" s="166"/>
      <c r="S418" s="166"/>
      <c r="T418" s="166"/>
      <c r="U418" s="166"/>
      <c r="V418" s="166"/>
      <c r="W418" s="166"/>
    </row>
    <row r="419" ht="15.75" customHeight="1">
      <c r="P419" s="165"/>
      <c r="Q419" s="166"/>
      <c r="R419" s="166"/>
      <c r="S419" s="166"/>
      <c r="T419" s="166"/>
      <c r="U419" s="166"/>
      <c r="V419" s="166"/>
      <c r="W419" s="166"/>
    </row>
    <row r="420" ht="15.75" customHeight="1">
      <c r="P420" s="165"/>
      <c r="Q420" s="166"/>
      <c r="R420" s="166"/>
      <c r="S420" s="166"/>
      <c r="T420" s="166"/>
      <c r="U420" s="166"/>
      <c r="V420" s="166"/>
      <c r="W420" s="166"/>
    </row>
    <row r="421" ht="15.75" customHeight="1">
      <c r="P421" s="165"/>
      <c r="Q421" s="166"/>
      <c r="R421" s="166"/>
      <c r="S421" s="166"/>
      <c r="T421" s="166"/>
      <c r="U421" s="166"/>
      <c r="V421" s="166"/>
      <c r="W421" s="166"/>
    </row>
    <row r="422" ht="15.75" customHeight="1">
      <c r="P422" s="165"/>
      <c r="Q422" s="166"/>
      <c r="R422" s="166"/>
      <c r="S422" s="166"/>
      <c r="T422" s="166"/>
      <c r="U422" s="166"/>
      <c r="V422" s="166"/>
      <c r="W422" s="166"/>
    </row>
    <row r="423" ht="15.75" customHeight="1">
      <c r="P423" s="165"/>
      <c r="Q423" s="166"/>
      <c r="R423" s="166"/>
      <c r="S423" s="166"/>
      <c r="T423" s="166"/>
      <c r="U423" s="166"/>
      <c r="V423" s="166"/>
      <c r="W423" s="166"/>
    </row>
    <row r="424" ht="15.75" customHeight="1">
      <c r="P424" s="165"/>
      <c r="Q424" s="166"/>
      <c r="R424" s="166"/>
      <c r="S424" s="166"/>
      <c r="T424" s="166"/>
      <c r="U424" s="166"/>
      <c r="V424" s="166"/>
      <c r="W424" s="166"/>
    </row>
    <row r="425" ht="15.75" customHeight="1">
      <c r="P425" s="165"/>
      <c r="Q425" s="166"/>
      <c r="R425" s="166"/>
      <c r="S425" s="166"/>
      <c r="T425" s="166"/>
      <c r="U425" s="166"/>
      <c r="V425" s="166"/>
      <c r="W425" s="166"/>
    </row>
    <row r="426" ht="15.75" customHeight="1">
      <c r="P426" s="165"/>
      <c r="Q426" s="166"/>
      <c r="R426" s="166"/>
      <c r="S426" s="166"/>
      <c r="T426" s="166"/>
      <c r="U426" s="166"/>
      <c r="V426" s="166"/>
      <c r="W426" s="166"/>
    </row>
    <row r="427" ht="15.75" customHeight="1">
      <c r="P427" s="165"/>
      <c r="Q427" s="166"/>
      <c r="R427" s="166"/>
      <c r="S427" s="166"/>
      <c r="T427" s="166"/>
      <c r="U427" s="166"/>
      <c r="V427" s="166"/>
      <c r="W427" s="166"/>
    </row>
    <row r="428" ht="15.75" customHeight="1">
      <c r="P428" s="165"/>
      <c r="Q428" s="166"/>
      <c r="R428" s="166"/>
      <c r="S428" s="166"/>
      <c r="T428" s="166"/>
      <c r="U428" s="166"/>
      <c r="V428" s="166"/>
      <c r="W428" s="166"/>
    </row>
    <row r="429" ht="15.75" customHeight="1">
      <c r="P429" s="165"/>
      <c r="Q429" s="166"/>
      <c r="R429" s="166"/>
      <c r="S429" s="166"/>
      <c r="T429" s="166"/>
      <c r="U429" s="166"/>
      <c r="V429" s="166"/>
      <c r="W429" s="166"/>
    </row>
    <row r="430" ht="15.75" customHeight="1">
      <c r="P430" s="165"/>
      <c r="Q430" s="166"/>
      <c r="R430" s="166"/>
      <c r="S430" s="166"/>
      <c r="T430" s="166"/>
      <c r="U430" s="166"/>
      <c r="V430" s="166"/>
      <c r="W430" s="166"/>
    </row>
    <row r="431" ht="15.75" customHeight="1">
      <c r="P431" s="165"/>
      <c r="Q431" s="166"/>
      <c r="R431" s="166"/>
      <c r="S431" s="166"/>
      <c r="T431" s="166"/>
      <c r="U431" s="166"/>
      <c r="V431" s="166"/>
      <c r="W431" s="166"/>
    </row>
    <row r="432" ht="15.75" customHeight="1">
      <c r="P432" s="165"/>
      <c r="Q432" s="166"/>
      <c r="R432" s="166"/>
      <c r="S432" s="166"/>
      <c r="T432" s="166"/>
      <c r="U432" s="166"/>
      <c r="V432" s="166"/>
      <c r="W432" s="166"/>
    </row>
    <row r="433" ht="15.75" customHeight="1">
      <c r="P433" s="165"/>
      <c r="Q433" s="166"/>
      <c r="R433" s="166"/>
      <c r="S433" s="166"/>
      <c r="T433" s="166"/>
      <c r="U433" s="166"/>
      <c r="V433" s="166"/>
      <c r="W433" s="166"/>
    </row>
    <row r="434" ht="15.75" customHeight="1">
      <c r="P434" s="165"/>
      <c r="Q434" s="166"/>
      <c r="R434" s="166"/>
      <c r="S434" s="166"/>
      <c r="T434" s="166"/>
      <c r="U434" s="166"/>
      <c r="V434" s="166"/>
      <c r="W434" s="166"/>
    </row>
    <row r="435" ht="15.75" customHeight="1">
      <c r="P435" s="165"/>
      <c r="Q435" s="166"/>
      <c r="R435" s="166"/>
      <c r="S435" s="166"/>
      <c r="T435" s="166"/>
      <c r="U435" s="166"/>
      <c r="V435" s="166"/>
      <c r="W435" s="166"/>
    </row>
    <row r="436" ht="15.75" customHeight="1">
      <c r="P436" s="165"/>
      <c r="Q436" s="166"/>
      <c r="R436" s="166"/>
      <c r="S436" s="166"/>
      <c r="T436" s="166"/>
      <c r="U436" s="166"/>
      <c r="V436" s="166"/>
      <c r="W436" s="166"/>
    </row>
    <row r="437" ht="15.75" customHeight="1">
      <c r="P437" s="165"/>
      <c r="Q437" s="166"/>
      <c r="R437" s="166"/>
      <c r="S437" s="166"/>
      <c r="T437" s="166"/>
      <c r="U437" s="166"/>
      <c r="V437" s="166"/>
      <c r="W437" s="166"/>
    </row>
    <row r="438" ht="15.75" customHeight="1">
      <c r="P438" s="165"/>
      <c r="Q438" s="166"/>
      <c r="R438" s="166"/>
      <c r="S438" s="166"/>
      <c r="T438" s="166"/>
      <c r="U438" s="166"/>
      <c r="V438" s="166"/>
      <c r="W438" s="166"/>
    </row>
    <row r="439" ht="15.75" customHeight="1">
      <c r="P439" s="165"/>
      <c r="Q439" s="166"/>
      <c r="R439" s="166"/>
      <c r="S439" s="166"/>
      <c r="T439" s="166"/>
      <c r="U439" s="166"/>
      <c r="V439" s="166"/>
      <c r="W439" s="166"/>
    </row>
    <row r="440" ht="15.75" customHeight="1">
      <c r="P440" s="165"/>
      <c r="Q440" s="166"/>
      <c r="R440" s="166"/>
      <c r="S440" s="166"/>
      <c r="T440" s="166"/>
      <c r="U440" s="166"/>
      <c r="V440" s="166"/>
      <c r="W440" s="166"/>
    </row>
    <row r="441" ht="15.75" customHeight="1">
      <c r="P441" s="165"/>
      <c r="Q441" s="166"/>
      <c r="R441" s="166"/>
      <c r="S441" s="166"/>
      <c r="T441" s="166"/>
      <c r="U441" s="166"/>
      <c r="V441" s="166"/>
      <c r="W441" s="166"/>
    </row>
    <row r="442" ht="15.75" customHeight="1">
      <c r="P442" s="165"/>
      <c r="Q442" s="166"/>
      <c r="R442" s="166"/>
      <c r="S442" s="166"/>
      <c r="T442" s="166"/>
      <c r="U442" s="166"/>
      <c r="V442" s="166"/>
      <c r="W442" s="166"/>
    </row>
    <row r="443" ht="15.75" customHeight="1">
      <c r="P443" s="165"/>
      <c r="Q443" s="166"/>
      <c r="R443" s="166"/>
      <c r="S443" s="166"/>
      <c r="T443" s="166"/>
      <c r="U443" s="166"/>
      <c r="V443" s="166"/>
      <c r="W443" s="166"/>
    </row>
    <row r="444" ht="15.75" customHeight="1">
      <c r="P444" s="165"/>
      <c r="Q444" s="166"/>
      <c r="R444" s="166"/>
      <c r="S444" s="166"/>
      <c r="T444" s="166"/>
      <c r="U444" s="166"/>
      <c r="V444" s="166"/>
      <c r="W444" s="166"/>
    </row>
    <row r="445" ht="15.75" customHeight="1">
      <c r="P445" s="165"/>
      <c r="Q445" s="166"/>
      <c r="R445" s="166"/>
      <c r="S445" s="166"/>
      <c r="T445" s="166"/>
      <c r="U445" s="166"/>
      <c r="V445" s="166"/>
      <c r="W445" s="166"/>
    </row>
    <row r="446" ht="15.75" customHeight="1">
      <c r="P446" s="165"/>
      <c r="Q446" s="166"/>
      <c r="R446" s="166"/>
      <c r="S446" s="166"/>
      <c r="T446" s="166"/>
      <c r="U446" s="166"/>
      <c r="V446" s="166"/>
      <c r="W446" s="166"/>
    </row>
    <row r="447" ht="15.75" customHeight="1">
      <c r="P447" s="165"/>
      <c r="Q447" s="166"/>
      <c r="R447" s="166"/>
      <c r="S447" s="166"/>
      <c r="T447" s="166"/>
      <c r="U447" s="166"/>
      <c r="V447" s="166"/>
      <c r="W447" s="166"/>
    </row>
    <row r="448" ht="15.75" customHeight="1">
      <c r="P448" s="165"/>
      <c r="Q448" s="166"/>
      <c r="R448" s="166"/>
      <c r="S448" s="166"/>
      <c r="T448" s="166"/>
      <c r="U448" s="166"/>
      <c r="V448" s="166"/>
      <c r="W448" s="166"/>
    </row>
    <row r="449" ht="15.75" customHeight="1">
      <c r="P449" s="165"/>
      <c r="Q449" s="166"/>
      <c r="R449" s="166"/>
      <c r="S449" s="166"/>
      <c r="T449" s="166"/>
      <c r="U449" s="166"/>
      <c r="V449" s="166"/>
      <c r="W449" s="166"/>
    </row>
    <row r="450" ht="15.75" customHeight="1">
      <c r="P450" s="165"/>
      <c r="Q450" s="166"/>
      <c r="R450" s="166"/>
      <c r="S450" s="166"/>
      <c r="T450" s="166"/>
      <c r="U450" s="166"/>
      <c r="V450" s="166"/>
      <c r="W450" s="166"/>
    </row>
    <row r="451" ht="15.75" customHeight="1">
      <c r="P451" s="165"/>
      <c r="Q451" s="166"/>
      <c r="R451" s="166"/>
      <c r="S451" s="166"/>
      <c r="T451" s="166"/>
      <c r="U451" s="166"/>
      <c r="V451" s="166"/>
      <c r="W451" s="166"/>
    </row>
    <row r="452" ht="15.75" customHeight="1">
      <c r="P452" s="165"/>
      <c r="Q452" s="166"/>
      <c r="R452" s="166"/>
      <c r="S452" s="166"/>
      <c r="T452" s="166"/>
      <c r="U452" s="166"/>
      <c r="V452" s="166"/>
      <c r="W452" s="166"/>
    </row>
    <row r="453" ht="15.75" customHeight="1">
      <c r="P453" s="165"/>
      <c r="Q453" s="166"/>
      <c r="R453" s="166"/>
      <c r="S453" s="166"/>
      <c r="T453" s="166"/>
      <c r="U453" s="166"/>
      <c r="V453" s="166"/>
      <c r="W453" s="166"/>
    </row>
    <row r="454" ht="15.75" customHeight="1">
      <c r="P454" s="165"/>
      <c r="Q454" s="166"/>
      <c r="R454" s="166"/>
      <c r="S454" s="166"/>
      <c r="T454" s="166"/>
      <c r="U454" s="166"/>
      <c r="V454" s="166"/>
      <c r="W454" s="166"/>
    </row>
    <row r="455" ht="15.75" customHeight="1">
      <c r="P455" s="165"/>
      <c r="Q455" s="166"/>
      <c r="R455" s="166"/>
      <c r="S455" s="166"/>
      <c r="T455" s="166"/>
      <c r="U455" s="166"/>
      <c r="V455" s="166"/>
      <c r="W455" s="166"/>
    </row>
    <row r="456" ht="15.75" customHeight="1">
      <c r="P456" s="165"/>
      <c r="Q456" s="166"/>
      <c r="R456" s="166"/>
      <c r="S456" s="166"/>
      <c r="T456" s="166"/>
      <c r="U456" s="166"/>
      <c r="V456" s="166"/>
      <c r="W456" s="166"/>
    </row>
    <row r="457" ht="15.75" customHeight="1">
      <c r="P457" s="165"/>
      <c r="Q457" s="166"/>
      <c r="R457" s="166"/>
      <c r="S457" s="166"/>
      <c r="T457" s="166"/>
      <c r="U457" s="166"/>
      <c r="V457" s="166"/>
      <c r="W457" s="166"/>
    </row>
    <row r="458" ht="15.75" customHeight="1">
      <c r="P458" s="165"/>
      <c r="Q458" s="166"/>
      <c r="R458" s="166"/>
      <c r="S458" s="166"/>
      <c r="T458" s="166"/>
      <c r="U458" s="166"/>
      <c r="V458" s="166"/>
      <c r="W458" s="166"/>
    </row>
    <row r="459" ht="15.75" customHeight="1">
      <c r="P459" s="165"/>
      <c r="Q459" s="166"/>
      <c r="R459" s="166"/>
      <c r="S459" s="166"/>
      <c r="T459" s="166"/>
      <c r="U459" s="166"/>
      <c r="V459" s="166"/>
      <c r="W459" s="166"/>
    </row>
    <row r="460" ht="15.75" customHeight="1">
      <c r="P460" s="165"/>
      <c r="Q460" s="166"/>
      <c r="R460" s="166"/>
      <c r="S460" s="166"/>
      <c r="T460" s="166"/>
      <c r="U460" s="166"/>
      <c r="V460" s="166"/>
      <c r="W460" s="166"/>
    </row>
    <row r="461" ht="15.75" customHeight="1">
      <c r="P461" s="165"/>
      <c r="Q461" s="166"/>
      <c r="R461" s="166"/>
      <c r="S461" s="166"/>
      <c r="T461" s="166"/>
      <c r="U461" s="166"/>
      <c r="V461" s="166"/>
      <c r="W461" s="166"/>
    </row>
    <row r="462" ht="15.75" customHeight="1">
      <c r="P462" s="165"/>
      <c r="Q462" s="166"/>
      <c r="R462" s="166"/>
      <c r="S462" s="166"/>
      <c r="T462" s="166"/>
      <c r="U462" s="166"/>
      <c r="V462" s="166"/>
      <c r="W462" s="166"/>
    </row>
    <row r="463" ht="15.75" customHeight="1">
      <c r="P463" s="165"/>
      <c r="Q463" s="166"/>
      <c r="R463" s="166"/>
      <c r="S463" s="166"/>
      <c r="T463" s="166"/>
      <c r="U463" s="166"/>
      <c r="V463" s="166"/>
      <c r="W463" s="166"/>
    </row>
    <row r="464" ht="15.75" customHeight="1">
      <c r="P464" s="165"/>
      <c r="Q464" s="166"/>
      <c r="R464" s="166"/>
      <c r="S464" s="166"/>
      <c r="T464" s="166"/>
      <c r="U464" s="166"/>
      <c r="V464" s="166"/>
      <c r="W464" s="166"/>
    </row>
    <row r="465" ht="15.75" customHeight="1">
      <c r="P465" s="165"/>
      <c r="Q465" s="166"/>
      <c r="R465" s="166"/>
      <c r="S465" s="166"/>
      <c r="T465" s="166"/>
      <c r="U465" s="166"/>
      <c r="V465" s="166"/>
      <c r="W465" s="166"/>
    </row>
    <row r="466" ht="15.75" customHeight="1">
      <c r="P466" s="165"/>
      <c r="Q466" s="166"/>
      <c r="R466" s="166"/>
      <c r="S466" s="166"/>
      <c r="T466" s="166"/>
      <c r="U466" s="166"/>
      <c r="V466" s="166"/>
      <c r="W466" s="166"/>
    </row>
    <row r="467" ht="15.75" customHeight="1">
      <c r="P467" s="165"/>
      <c r="Q467" s="166"/>
      <c r="R467" s="166"/>
      <c r="S467" s="166"/>
      <c r="T467" s="166"/>
      <c r="U467" s="166"/>
      <c r="V467" s="166"/>
      <c r="W467" s="166"/>
    </row>
    <row r="468" ht="15.75" customHeight="1">
      <c r="P468" s="165"/>
      <c r="Q468" s="166"/>
      <c r="R468" s="166"/>
      <c r="S468" s="166"/>
      <c r="T468" s="166"/>
      <c r="U468" s="166"/>
      <c r="V468" s="166"/>
      <c r="W468" s="166"/>
    </row>
    <row r="469" ht="15.75" customHeight="1">
      <c r="P469" s="165"/>
      <c r="Q469" s="166"/>
      <c r="R469" s="166"/>
      <c r="S469" s="166"/>
      <c r="T469" s="166"/>
      <c r="U469" s="166"/>
      <c r="V469" s="166"/>
      <c r="W469" s="166"/>
    </row>
    <row r="470" ht="15.75" customHeight="1">
      <c r="P470" s="165"/>
      <c r="Q470" s="166"/>
      <c r="R470" s="166"/>
      <c r="S470" s="166"/>
      <c r="T470" s="166"/>
      <c r="U470" s="166"/>
      <c r="V470" s="166"/>
      <c r="W470" s="166"/>
    </row>
    <row r="471" ht="15.75" customHeight="1">
      <c r="P471" s="165"/>
      <c r="Q471" s="166"/>
      <c r="R471" s="166"/>
      <c r="S471" s="166"/>
      <c r="T471" s="166"/>
      <c r="U471" s="166"/>
      <c r="V471" s="166"/>
      <c r="W471" s="166"/>
    </row>
    <row r="472" ht="15.75" customHeight="1">
      <c r="P472" s="165"/>
      <c r="Q472" s="166"/>
      <c r="R472" s="166"/>
      <c r="S472" s="166"/>
      <c r="T472" s="166"/>
      <c r="U472" s="166"/>
      <c r="V472" s="166"/>
      <c r="W472" s="166"/>
    </row>
    <row r="473" ht="15.75" customHeight="1">
      <c r="P473" s="165"/>
      <c r="Q473" s="166"/>
      <c r="R473" s="166"/>
      <c r="S473" s="166"/>
      <c r="T473" s="166"/>
      <c r="U473" s="166"/>
      <c r="V473" s="166"/>
      <c r="W473" s="166"/>
    </row>
    <row r="474" ht="15.75" customHeight="1">
      <c r="P474" s="165"/>
      <c r="Q474" s="166"/>
      <c r="R474" s="166"/>
      <c r="S474" s="166"/>
      <c r="T474" s="166"/>
      <c r="U474" s="166"/>
      <c r="V474" s="166"/>
      <c r="W474" s="166"/>
    </row>
    <row r="475" ht="15.75" customHeight="1">
      <c r="P475" s="165"/>
      <c r="Q475" s="166"/>
      <c r="R475" s="166"/>
      <c r="S475" s="166"/>
      <c r="T475" s="166"/>
      <c r="U475" s="166"/>
      <c r="V475" s="166"/>
      <c r="W475" s="166"/>
    </row>
    <row r="476" ht="15.75" customHeight="1">
      <c r="P476" s="165"/>
      <c r="Q476" s="166"/>
      <c r="R476" s="166"/>
      <c r="S476" s="166"/>
      <c r="T476" s="166"/>
      <c r="U476" s="166"/>
      <c r="V476" s="166"/>
      <c r="W476" s="166"/>
    </row>
    <row r="477" ht="15.75" customHeight="1">
      <c r="P477" s="165"/>
      <c r="Q477" s="166"/>
      <c r="R477" s="166"/>
      <c r="S477" s="166"/>
      <c r="T477" s="166"/>
      <c r="U477" s="166"/>
      <c r="V477" s="166"/>
      <c r="W477" s="166"/>
    </row>
    <row r="478" ht="15.75" customHeight="1">
      <c r="P478" s="165"/>
      <c r="Q478" s="166"/>
      <c r="R478" s="166"/>
      <c r="S478" s="166"/>
      <c r="T478" s="166"/>
      <c r="U478" s="166"/>
      <c r="V478" s="166"/>
      <c r="W478" s="166"/>
    </row>
    <row r="479" ht="15.75" customHeight="1">
      <c r="P479" s="165"/>
      <c r="Q479" s="166"/>
      <c r="R479" s="166"/>
      <c r="S479" s="166"/>
      <c r="T479" s="166"/>
      <c r="U479" s="166"/>
      <c r="V479" s="166"/>
      <c r="W479" s="166"/>
    </row>
    <row r="480" ht="15.75" customHeight="1">
      <c r="P480" s="165"/>
      <c r="Q480" s="166"/>
      <c r="R480" s="166"/>
      <c r="S480" s="166"/>
      <c r="T480" s="166"/>
      <c r="U480" s="166"/>
      <c r="V480" s="166"/>
      <c r="W480" s="166"/>
    </row>
    <row r="481" ht="15.75" customHeight="1">
      <c r="P481" s="165"/>
      <c r="Q481" s="166"/>
      <c r="R481" s="166"/>
      <c r="S481" s="166"/>
      <c r="T481" s="166"/>
      <c r="U481" s="166"/>
      <c r="V481" s="166"/>
      <c r="W481" s="166"/>
    </row>
    <row r="482" ht="15.75" customHeight="1">
      <c r="P482" s="165"/>
      <c r="Q482" s="166"/>
      <c r="R482" s="166"/>
      <c r="S482" s="166"/>
      <c r="T482" s="166"/>
      <c r="U482" s="166"/>
      <c r="V482" s="166"/>
      <c r="W482" s="166"/>
    </row>
    <row r="483" ht="15.75" customHeight="1">
      <c r="P483" s="165"/>
      <c r="Q483" s="166"/>
      <c r="R483" s="166"/>
      <c r="S483" s="166"/>
      <c r="T483" s="166"/>
      <c r="U483" s="166"/>
      <c r="V483" s="166"/>
      <c r="W483" s="166"/>
    </row>
    <row r="484" ht="15.75" customHeight="1">
      <c r="P484" s="165"/>
      <c r="Q484" s="166"/>
      <c r="R484" s="166"/>
      <c r="S484" s="166"/>
      <c r="T484" s="166"/>
      <c r="U484" s="166"/>
      <c r="V484" s="166"/>
      <c r="W484" s="166"/>
    </row>
    <row r="485" ht="15.75" customHeight="1">
      <c r="P485" s="165"/>
      <c r="Q485" s="166"/>
      <c r="R485" s="166"/>
      <c r="S485" s="166"/>
      <c r="T485" s="166"/>
      <c r="U485" s="166"/>
      <c r="V485" s="166"/>
      <c r="W485" s="166"/>
    </row>
    <row r="486" ht="15.75" customHeight="1">
      <c r="P486" s="165"/>
      <c r="Q486" s="166"/>
      <c r="R486" s="166"/>
      <c r="S486" s="166"/>
      <c r="T486" s="166"/>
      <c r="U486" s="166"/>
      <c r="V486" s="166"/>
      <c r="W486" s="166"/>
    </row>
    <row r="487" ht="15.75" customHeight="1">
      <c r="P487" s="165"/>
      <c r="Q487" s="166"/>
      <c r="R487" s="166"/>
      <c r="S487" s="166"/>
      <c r="T487" s="166"/>
      <c r="U487" s="166"/>
      <c r="V487" s="166"/>
      <c r="W487" s="166"/>
    </row>
    <row r="488" ht="15.75" customHeight="1">
      <c r="P488" s="165"/>
      <c r="Q488" s="166"/>
      <c r="R488" s="166"/>
      <c r="S488" s="166"/>
      <c r="T488" s="166"/>
      <c r="U488" s="166"/>
      <c r="V488" s="166"/>
      <c r="W488" s="166"/>
    </row>
    <row r="489" ht="15.75" customHeight="1">
      <c r="P489" s="165"/>
      <c r="Q489" s="166"/>
      <c r="R489" s="166"/>
      <c r="S489" s="166"/>
      <c r="T489" s="166"/>
      <c r="U489" s="166"/>
      <c r="V489" s="166"/>
      <c r="W489" s="166"/>
    </row>
    <row r="490" ht="15.75" customHeight="1">
      <c r="P490" s="165"/>
      <c r="Q490" s="166"/>
      <c r="R490" s="166"/>
      <c r="S490" s="166"/>
      <c r="T490" s="166"/>
      <c r="U490" s="166"/>
      <c r="V490" s="166"/>
      <c r="W490" s="166"/>
    </row>
    <row r="491" ht="15.75" customHeight="1">
      <c r="P491" s="165"/>
      <c r="Q491" s="166"/>
      <c r="R491" s="166"/>
      <c r="S491" s="166"/>
      <c r="T491" s="166"/>
      <c r="U491" s="166"/>
      <c r="V491" s="166"/>
      <c r="W491" s="166"/>
    </row>
    <row r="492" ht="15.75" customHeight="1">
      <c r="P492" s="165"/>
      <c r="Q492" s="166"/>
      <c r="R492" s="166"/>
      <c r="S492" s="166"/>
      <c r="T492" s="166"/>
      <c r="U492" s="166"/>
      <c r="V492" s="166"/>
      <c r="W492" s="166"/>
    </row>
    <row r="493" ht="15.75" customHeight="1">
      <c r="P493" s="165"/>
      <c r="Q493" s="166"/>
      <c r="R493" s="166"/>
      <c r="S493" s="166"/>
      <c r="T493" s="166"/>
      <c r="U493" s="166"/>
      <c r="V493" s="166"/>
      <c r="W493" s="166"/>
    </row>
    <row r="494" ht="15.75" customHeight="1">
      <c r="P494" s="165"/>
      <c r="Q494" s="166"/>
      <c r="R494" s="166"/>
      <c r="S494" s="166"/>
      <c r="T494" s="166"/>
      <c r="U494" s="166"/>
      <c r="V494" s="166"/>
      <c r="W494" s="166"/>
    </row>
    <row r="495" ht="15.75" customHeight="1">
      <c r="P495" s="165"/>
      <c r="Q495" s="166"/>
      <c r="R495" s="166"/>
      <c r="S495" s="166"/>
      <c r="T495" s="166"/>
      <c r="U495" s="166"/>
      <c r="V495" s="166"/>
      <c r="W495" s="166"/>
    </row>
    <row r="496" ht="15.75" customHeight="1">
      <c r="P496" s="165"/>
      <c r="Q496" s="166"/>
      <c r="R496" s="166"/>
      <c r="S496" s="166"/>
      <c r="T496" s="166"/>
      <c r="U496" s="166"/>
      <c r="V496" s="166"/>
      <c r="W496" s="166"/>
    </row>
    <row r="497" ht="15.75" customHeight="1">
      <c r="P497" s="165"/>
      <c r="Q497" s="166"/>
      <c r="R497" s="166"/>
      <c r="S497" s="166"/>
      <c r="T497" s="166"/>
      <c r="U497" s="166"/>
      <c r="V497" s="166"/>
      <c r="W497" s="166"/>
    </row>
    <row r="498" ht="15.75" customHeight="1">
      <c r="P498" s="165"/>
      <c r="Q498" s="166"/>
      <c r="R498" s="166"/>
      <c r="S498" s="166"/>
      <c r="T498" s="166"/>
      <c r="U498" s="166"/>
      <c r="V498" s="166"/>
      <c r="W498" s="166"/>
    </row>
    <row r="499" ht="15.75" customHeight="1">
      <c r="P499" s="165"/>
      <c r="Q499" s="166"/>
      <c r="R499" s="166"/>
      <c r="S499" s="166"/>
      <c r="T499" s="166"/>
      <c r="U499" s="166"/>
      <c r="V499" s="166"/>
      <c r="W499" s="166"/>
    </row>
    <row r="500" ht="15.75" customHeight="1">
      <c r="P500" s="165"/>
      <c r="Q500" s="166"/>
      <c r="R500" s="166"/>
      <c r="S500" s="166"/>
      <c r="T500" s="166"/>
      <c r="U500" s="166"/>
      <c r="V500" s="166"/>
      <c r="W500" s="166"/>
    </row>
    <row r="501" ht="15.75" customHeight="1">
      <c r="P501" s="165"/>
      <c r="Q501" s="166"/>
      <c r="R501" s="166"/>
      <c r="S501" s="166"/>
      <c r="T501" s="166"/>
      <c r="U501" s="166"/>
      <c r="V501" s="166"/>
      <c r="W501" s="166"/>
    </row>
    <row r="502" ht="15.75" customHeight="1">
      <c r="P502" s="165"/>
      <c r="Q502" s="166"/>
      <c r="R502" s="166"/>
      <c r="S502" s="166"/>
      <c r="T502" s="166"/>
      <c r="U502" s="166"/>
      <c r="V502" s="166"/>
      <c r="W502" s="166"/>
    </row>
    <row r="503" ht="15.75" customHeight="1">
      <c r="P503" s="165"/>
      <c r="Q503" s="166"/>
      <c r="R503" s="166"/>
      <c r="S503" s="166"/>
      <c r="T503" s="166"/>
      <c r="U503" s="166"/>
      <c r="V503" s="166"/>
      <c r="W503" s="166"/>
    </row>
    <row r="504" ht="15.75" customHeight="1">
      <c r="P504" s="165"/>
      <c r="Q504" s="166"/>
      <c r="R504" s="166"/>
      <c r="S504" s="166"/>
      <c r="T504" s="166"/>
      <c r="U504" s="166"/>
      <c r="V504" s="166"/>
      <c r="W504" s="166"/>
    </row>
    <row r="505" ht="15.75" customHeight="1">
      <c r="P505" s="165"/>
      <c r="Q505" s="166"/>
      <c r="R505" s="166"/>
      <c r="S505" s="166"/>
      <c r="T505" s="166"/>
      <c r="U505" s="166"/>
      <c r="V505" s="166"/>
      <c r="W505" s="166"/>
    </row>
    <row r="506" ht="15.75" customHeight="1">
      <c r="P506" s="165"/>
      <c r="Q506" s="166"/>
      <c r="R506" s="166"/>
      <c r="S506" s="166"/>
      <c r="T506" s="166"/>
      <c r="U506" s="166"/>
      <c r="V506" s="166"/>
      <c r="W506" s="166"/>
    </row>
    <row r="507" ht="15.75" customHeight="1">
      <c r="P507" s="165"/>
      <c r="Q507" s="166"/>
      <c r="R507" s="166"/>
      <c r="S507" s="166"/>
      <c r="T507" s="166"/>
      <c r="U507" s="166"/>
      <c r="V507" s="166"/>
      <c r="W507" s="166"/>
    </row>
    <row r="508" ht="15.75" customHeight="1">
      <c r="P508" s="165"/>
      <c r="Q508" s="166"/>
      <c r="R508" s="166"/>
      <c r="S508" s="166"/>
      <c r="T508" s="166"/>
      <c r="U508" s="166"/>
      <c r="V508" s="166"/>
      <c r="W508" s="166"/>
    </row>
    <row r="509" ht="15.75" customHeight="1">
      <c r="P509" s="165"/>
      <c r="Q509" s="166"/>
      <c r="R509" s="166"/>
      <c r="S509" s="166"/>
      <c r="T509" s="166"/>
      <c r="U509" s="166"/>
      <c r="V509" s="166"/>
      <c r="W509" s="166"/>
    </row>
    <row r="510" ht="15.75" customHeight="1">
      <c r="P510" s="165"/>
      <c r="Q510" s="166"/>
      <c r="R510" s="166"/>
      <c r="S510" s="166"/>
      <c r="T510" s="166"/>
      <c r="U510" s="166"/>
      <c r="V510" s="166"/>
      <c r="W510" s="166"/>
    </row>
    <row r="511" ht="15.75" customHeight="1">
      <c r="P511" s="165"/>
      <c r="Q511" s="166"/>
      <c r="R511" s="166"/>
      <c r="S511" s="166"/>
      <c r="T511" s="166"/>
      <c r="U511" s="166"/>
      <c r="V511" s="166"/>
      <c r="W511" s="166"/>
    </row>
    <row r="512" ht="15.75" customHeight="1">
      <c r="P512" s="165"/>
      <c r="Q512" s="166"/>
      <c r="R512" s="166"/>
      <c r="S512" s="166"/>
      <c r="T512" s="166"/>
      <c r="U512" s="166"/>
      <c r="V512" s="166"/>
      <c r="W512" s="166"/>
    </row>
    <row r="513" ht="15.75" customHeight="1">
      <c r="P513" s="165"/>
      <c r="Q513" s="166"/>
      <c r="R513" s="166"/>
      <c r="S513" s="166"/>
      <c r="T513" s="166"/>
      <c r="U513" s="166"/>
      <c r="V513" s="166"/>
      <c r="W513" s="166"/>
    </row>
    <row r="514" ht="15.75" customHeight="1">
      <c r="P514" s="165"/>
      <c r="Q514" s="166"/>
      <c r="R514" s="166"/>
      <c r="S514" s="166"/>
      <c r="T514" s="166"/>
      <c r="U514" s="166"/>
      <c r="V514" s="166"/>
      <c r="W514" s="166"/>
    </row>
    <row r="515" ht="15.75" customHeight="1">
      <c r="P515" s="165"/>
      <c r="Q515" s="166"/>
      <c r="R515" s="166"/>
      <c r="S515" s="166"/>
      <c r="T515" s="166"/>
      <c r="U515" s="166"/>
      <c r="V515" s="166"/>
      <c r="W515" s="166"/>
    </row>
    <row r="516" ht="15.75" customHeight="1">
      <c r="P516" s="165"/>
      <c r="Q516" s="166"/>
      <c r="R516" s="166"/>
      <c r="S516" s="166"/>
      <c r="T516" s="166"/>
      <c r="U516" s="166"/>
      <c r="V516" s="166"/>
      <c r="W516" s="166"/>
    </row>
    <row r="517" ht="15.75" customHeight="1">
      <c r="P517" s="165"/>
      <c r="Q517" s="166"/>
      <c r="R517" s="166"/>
      <c r="S517" s="166"/>
      <c r="T517" s="166"/>
      <c r="U517" s="166"/>
      <c r="V517" s="166"/>
      <c r="W517" s="166"/>
    </row>
    <row r="518" ht="15.75" customHeight="1">
      <c r="P518" s="165"/>
      <c r="Q518" s="166"/>
      <c r="R518" s="166"/>
      <c r="S518" s="166"/>
      <c r="T518" s="166"/>
      <c r="U518" s="166"/>
      <c r="V518" s="166"/>
      <c r="W518" s="166"/>
    </row>
    <row r="519" ht="15.75" customHeight="1">
      <c r="P519" s="165"/>
      <c r="Q519" s="166"/>
      <c r="R519" s="166"/>
      <c r="S519" s="166"/>
      <c r="T519" s="166"/>
      <c r="U519" s="166"/>
      <c r="V519" s="166"/>
      <c r="W519" s="166"/>
    </row>
    <row r="520" ht="15.75" customHeight="1">
      <c r="P520" s="165"/>
      <c r="Q520" s="166"/>
      <c r="R520" s="166"/>
      <c r="S520" s="166"/>
      <c r="T520" s="166"/>
      <c r="U520" s="166"/>
      <c r="V520" s="166"/>
      <c r="W520" s="166"/>
    </row>
    <row r="521" ht="15.75" customHeight="1">
      <c r="P521" s="165"/>
      <c r="Q521" s="166"/>
      <c r="R521" s="166"/>
      <c r="S521" s="166"/>
      <c r="T521" s="166"/>
      <c r="U521" s="166"/>
      <c r="V521" s="166"/>
      <c r="W521" s="166"/>
    </row>
    <row r="522" ht="15.75" customHeight="1">
      <c r="P522" s="165"/>
      <c r="Q522" s="166"/>
      <c r="R522" s="166"/>
      <c r="S522" s="166"/>
      <c r="T522" s="166"/>
      <c r="U522" s="166"/>
      <c r="V522" s="166"/>
      <c r="W522" s="166"/>
    </row>
    <row r="523" ht="15.75" customHeight="1">
      <c r="P523" s="165"/>
      <c r="Q523" s="166"/>
      <c r="R523" s="166"/>
      <c r="S523" s="166"/>
      <c r="T523" s="166"/>
      <c r="U523" s="166"/>
      <c r="V523" s="166"/>
      <c r="W523" s="166"/>
    </row>
    <row r="524" ht="15.75" customHeight="1">
      <c r="P524" s="165"/>
      <c r="Q524" s="166"/>
      <c r="R524" s="166"/>
      <c r="S524" s="166"/>
      <c r="T524" s="166"/>
      <c r="U524" s="166"/>
      <c r="V524" s="166"/>
      <c r="W524" s="166"/>
    </row>
    <row r="525" ht="15.75" customHeight="1">
      <c r="P525" s="165"/>
      <c r="Q525" s="166"/>
      <c r="R525" s="166"/>
      <c r="S525" s="166"/>
      <c r="T525" s="166"/>
      <c r="U525" s="166"/>
      <c r="V525" s="166"/>
      <c r="W525" s="166"/>
    </row>
    <row r="526" ht="15.75" customHeight="1">
      <c r="P526" s="165"/>
      <c r="Q526" s="166"/>
      <c r="R526" s="166"/>
      <c r="S526" s="166"/>
      <c r="T526" s="166"/>
      <c r="U526" s="166"/>
      <c r="V526" s="166"/>
      <c r="W526" s="166"/>
    </row>
    <row r="527" ht="15.75" customHeight="1">
      <c r="P527" s="165"/>
      <c r="Q527" s="166"/>
      <c r="R527" s="166"/>
      <c r="S527" s="166"/>
      <c r="T527" s="166"/>
      <c r="U527" s="166"/>
      <c r="V527" s="166"/>
      <c r="W527" s="166"/>
    </row>
    <row r="528" ht="15.75" customHeight="1">
      <c r="P528" s="165"/>
      <c r="Q528" s="166"/>
      <c r="R528" s="166"/>
      <c r="S528" s="166"/>
      <c r="T528" s="166"/>
      <c r="U528" s="166"/>
      <c r="V528" s="166"/>
      <c r="W528" s="166"/>
    </row>
    <row r="529" ht="15.75" customHeight="1">
      <c r="P529" s="165"/>
      <c r="Q529" s="166"/>
      <c r="R529" s="166"/>
      <c r="S529" s="166"/>
      <c r="T529" s="166"/>
      <c r="U529" s="166"/>
      <c r="V529" s="166"/>
      <c r="W529" s="166"/>
    </row>
    <row r="530" ht="15.75" customHeight="1">
      <c r="P530" s="165"/>
      <c r="Q530" s="166"/>
      <c r="R530" s="166"/>
      <c r="S530" s="166"/>
      <c r="T530" s="166"/>
      <c r="U530" s="166"/>
      <c r="V530" s="166"/>
      <c r="W530" s="166"/>
    </row>
    <row r="531" ht="15.75" customHeight="1">
      <c r="P531" s="165"/>
      <c r="Q531" s="166"/>
      <c r="R531" s="166"/>
      <c r="S531" s="166"/>
      <c r="T531" s="166"/>
      <c r="U531" s="166"/>
      <c r="V531" s="166"/>
      <c r="W531" s="166"/>
    </row>
    <row r="532" ht="15.75" customHeight="1">
      <c r="P532" s="165"/>
      <c r="Q532" s="166"/>
      <c r="R532" s="166"/>
      <c r="S532" s="166"/>
      <c r="T532" s="166"/>
      <c r="U532" s="166"/>
      <c r="V532" s="166"/>
      <c r="W532" s="166"/>
    </row>
    <row r="533" ht="15.75" customHeight="1">
      <c r="P533" s="165"/>
      <c r="Q533" s="166"/>
      <c r="R533" s="166"/>
      <c r="S533" s="166"/>
      <c r="T533" s="166"/>
      <c r="U533" s="166"/>
      <c r="V533" s="166"/>
      <c r="W533" s="166"/>
    </row>
    <row r="534" ht="15.75" customHeight="1">
      <c r="P534" s="165"/>
      <c r="Q534" s="166"/>
      <c r="R534" s="166"/>
      <c r="S534" s="166"/>
      <c r="T534" s="166"/>
      <c r="U534" s="166"/>
      <c r="V534" s="166"/>
      <c r="W534" s="166"/>
    </row>
    <row r="535" ht="15.75" customHeight="1">
      <c r="P535" s="165"/>
      <c r="Q535" s="166"/>
      <c r="R535" s="166"/>
      <c r="S535" s="166"/>
      <c r="T535" s="166"/>
      <c r="U535" s="166"/>
      <c r="V535" s="166"/>
      <c r="W535" s="166"/>
    </row>
    <row r="536" ht="15.75" customHeight="1">
      <c r="P536" s="165"/>
      <c r="Q536" s="166"/>
      <c r="R536" s="166"/>
      <c r="S536" s="166"/>
      <c r="T536" s="166"/>
      <c r="U536" s="166"/>
      <c r="V536" s="166"/>
      <c r="W536" s="166"/>
    </row>
    <row r="537" ht="15.75" customHeight="1">
      <c r="P537" s="165"/>
      <c r="Q537" s="166"/>
      <c r="R537" s="166"/>
      <c r="S537" s="166"/>
      <c r="T537" s="166"/>
      <c r="U537" s="166"/>
      <c r="V537" s="166"/>
      <c r="W537" s="166"/>
    </row>
    <row r="538" ht="15.75" customHeight="1">
      <c r="P538" s="165"/>
      <c r="Q538" s="166"/>
      <c r="R538" s="166"/>
      <c r="S538" s="166"/>
      <c r="T538" s="166"/>
      <c r="U538" s="166"/>
      <c r="V538" s="166"/>
      <c r="W538" s="166"/>
    </row>
    <row r="539" ht="15.75" customHeight="1">
      <c r="P539" s="165"/>
      <c r="Q539" s="166"/>
      <c r="R539" s="166"/>
      <c r="S539" s="166"/>
      <c r="T539" s="166"/>
      <c r="U539" s="166"/>
      <c r="V539" s="166"/>
      <c r="W539" s="166"/>
    </row>
    <row r="540" ht="15.75" customHeight="1">
      <c r="P540" s="165"/>
      <c r="Q540" s="166"/>
      <c r="R540" s="166"/>
      <c r="S540" s="166"/>
      <c r="T540" s="166"/>
      <c r="U540" s="166"/>
      <c r="V540" s="166"/>
      <c r="W540" s="166"/>
    </row>
    <row r="541" ht="15.75" customHeight="1">
      <c r="P541" s="165"/>
      <c r="Q541" s="166"/>
      <c r="R541" s="166"/>
      <c r="S541" s="166"/>
      <c r="T541" s="166"/>
      <c r="U541" s="166"/>
      <c r="V541" s="166"/>
      <c r="W541" s="166"/>
    </row>
    <row r="542" ht="15.75" customHeight="1">
      <c r="P542" s="165"/>
      <c r="Q542" s="166"/>
      <c r="R542" s="166"/>
      <c r="S542" s="166"/>
      <c r="T542" s="166"/>
      <c r="U542" s="166"/>
      <c r="V542" s="166"/>
      <c r="W542" s="166"/>
    </row>
    <row r="543" ht="15.75" customHeight="1">
      <c r="P543" s="165"/>
      <c r="Q543" s="166"/>
      <c r="R543" s="166"/>
      <c r="S543" s="166"/>
      <c r="T543" s="166"/>
      <c r="U543" s="166"/>
      <c r="V543" s="166"/>
      <c r="W543" s="166"/>
    </row>
    <row r="544" ht="15.75" customHeight="1">
      <c r="P544" s="165"/>
      <c r="Q544" s="166"/>
      <c r="R544" s="166"/>
      <c r="S544" s="166"/>
      <c r="T544" s="166"/>
      <c r="U544" s="166"/>
      <c r="V544" s="166"/>
      <c r="W544" s="166"/>
    </row>
    <row r="545" ht="15.75" customHeight="1">
      <c r="P545" s="165"/>
      <c r="Q545" s="166"/>
      <c r="R545" s="166"/>
      <c r="S545" s="166"/>
      <c r="T545" s="166"/>
      <c r="U545" s="166"/>
      <c r="V545" s="166"/>
      <c r="W545" s="166"/>
    </row>
    <row r="546" ht="15.75" customHeight="1">
      <c r="P546" s="165"/>
      <c r="Q546" s="166"/>
      <c r="R546" s="166"/>
      <c r="S546" s="166"/>
      <c r="T546" s="166"/>
      <c r="U546" s="166"/>
      <c r="V546" s="166"/>
      <c r="W546" s="166"/>
    </row>
    <row r="547" ht="15.75" customHeight="1">
      <c r="P547" s="165"/>
      <c r="Q547" s="166"/>
      <c r="R547" s="166"/>
      <c r="S547" s="166"/>
      <c r="T547" s="166"/>
      <c r="U547" s="166"/>
      <c r="V547" s="166"/>
      <c r="W547" s="166"/>
    </row>
    <row r="548" ht="15.75" customHeight="1">
      <c r="P548" s="165"/>
      <c r="Q548" s="166"/>
      <c r="R548" s="166"/>
      <c r="S548" s="166"/>
      <c r="T548" s="166"/>
      <c r="U548" s="166"/>
      <c r="V548" s="166"/>
      <c r="W548" s="166"/>
    </row>
    <row r="549" ht="15.75" customHeight="1">
      <c r="P549" s="165"/>
      <c r="Q549" s="166"/>
      <c r="R549" s="166"/>
      <c r="S549" s="166"/>
      <c r="T549" s="166"/>
      <c r="U549" s="166"/>
      <c r="V549" s="166"/>
      <c r="W549" s="166"/>
    </row>
    <row r="550" ht="15.75" customHeight="1">
      <c r="P550" s="165"/>
      <c r="Q550" s="166"/>
      <c r="R550" s="166"/>
      <c r="S550" s="166"/>
      <c r="T550" s="166"/>
      <c r="U550" s="166"/>
      <c r="V550" s="166"/>
      <c r="W550" s="166"/>
    </row>
    <row r="551" ht="15.75" customHeight="1">
      <c r="P551" s="165"/>
      <c r="Q551" s="166"/>
      <c r="R551" s="166"/>
      <c r="S551" s="166"/>
      <c r="T551" s="166"/>
      <c r="U551" s="166"/>
      <c r="V551" s="166"/>
      <c r="W551" s="166"/>
    </row>
    <row r="552" ht="15.75" customHeight="1">
      <c r="P552" s="165"/>
      <c r="Q552" s="166"/>
      <c r="R552" s="166"/>
      <c r="S552" s="166"/>
      <c r="T552" s="166"/>
      <c r="U552" s="166"/>
      <c r="V552" s="166"/>
      <c r="W552" s="166"/>
    </row>
    <row r="553" ht="15.75" customHeight="1">
      <c r="P553" s="165"/>
      <c r="Q553" s="166"/>
      <c r="R553" s="166"/>
      <c r="S553" s="166"/>
      <c r="T553" s="166"/>
      <c r="U553" s="166"/>
      <c r="V553" s="166"/>
      <c r="W553" s="166"/>
    </row>
    <row r="554" ht="15.75" customHeight="1">
      <c r="P554" s="165"/>
      <c r="Q554" s="166"/>
      <c r="R554" s="166"/>
      <c r="S554" s="166"/>
      <c r="T554" s="166"/>
      <c r="U554" s="166"/>
      <c r="V554" s="166"/>
      <c r="W554" s="166"/>
    </row>
    <row r="555" ht="15.75" customHeight="1">
      <c r="P555" s="165"/>
      <c r="Q555" s="166"/>
      <c r="R555" s="166"/>
      <c r="S555" s="166"/>
      <c r="T555" s="166"/>
      <c r="U555" s="166"/>
      <c r="V555" s="166"/>
      <c r="W555" s="166"/>
    </row>
    <row r="556" ht="15.75" customHeight="1">
      <c r="P556" s="165"/>
      <c r="Q556" s="166"/>
      <c r="R556" s="166"/>
      <c r="S556" s="166"/>
      <c r="T556" s="166"/>
      <c r="U556" s="166"/>
      <c r="V556" s="166"/>
      <c r="W556" s="166"/>
    </row>
    <row r="557" ht="15.75" customHeight="1">
      <c r="P557" s="165"/>
      <c r="Q557" s="166"/>
      <c r="R557" s="166"/>
      <c r="S557" s="166"/>
      <c r="T557" s="166"/>
      <c r="U557" s="166"/>
      <c r="V557" s="166"/>
      <c r="W557" s="166"/>
    </row>
    <row r="558" ht="15.75" customHeight="1">
      <c r="P558" s="165"/>
      <c r="Q558" s="166"/>
      <c r="R558" s="166"/>
      <c r="S558" s="166"/>
      <c r="T558" s="166"/>
      <c r="U558" s="166"/>
      <c r="V558" s="166"/>
      <c r="W558" s="166"/>
    </row>
    <row r="559" ht="15.75" customHeight="1">
      <c r="P559" s="165"/>
      <c r="Q559" s="166"/>
      <c r="R559" s="166"/>
      <c r="S559" s="166"/>
      <c r="T559" s="166"/>
      <c r="U559" s="166"/>
      <c r="V559" s="166"/>
      <c r="W559" s="166"/>
    </row>
    <row r="560" ht="15.75" customHeight="1">
      <c r="P560" s="165"/>
      <c r="Q560" s="166"/>
      <c r="R560" s="166"/>
      <c r="S560" s="166"/>
      <c r="T560" s="166"/>
      <c r="U560" s="166"/>
      <c r="V560" s="166"/>
      <c r="W560" s="166"/>
    </row>
    <row r="561" ht="15.75" customHeight="1">
      <c r="P561" s="165"/>
      <c r="Q561" s="166"/>
      <c r="R561" s="166"/>
      <c r="S561" s="166"/>
      <c r="T561" s="166"/>
      <c r="U561" s="166"/>
      <c r="V561" s="166"/>
      <c r="W561" s="166"/>
    </row>
    <row r="562" ht="15.75" customHeight="1">
      <c r="P562" s="165"/>
      <c r="Q562" s="166"/>
      <c r="R562" s="166"/>
      <c r="S562" s="166"/>
      <c r="T562" s="166"/>
      <c r="U562" s="166"/>
      <c r="V562" s="166"/>
      <c r="W562" s="166"/>
    </row>
    <row r="563" ht="15.75" customHeight="1">
      <c r="P563" s="165"/>
      <c r="Q563" s="166"/>
      <c r="R563" s="166"/>
      <c r="S563" s="166"/>
      <c r="T563" s="166"/>
      <c r="U563" s="166"/>
      <c r="V563" s="166"/>
      <c r="W563" s="166"/>
    </row>
    <row r="564" ht="15.75" customHeight="1">
      <c r="P564" s="165"/>
      <c r="Q564" s="166"/>
      <c r="R564" s="166"/>
      <c r="S564" s="166"/>
      <c r="T564" s="166"/>
      <c r="U564" s="166"/>
      <c r="V564" s="166"/>
      <c r="W564" s="166"/>
    </row>
    <row r="565" ht="15.75" customHeight="1">
      <c r="P565" s="165"/>
      <c r="Q565" s="166"/>
      <c r="R565" s="166"/>
      <c r="S565" s="166"/>
      <c r="T565" s="166"/>
      <c r="U565" s="166"/>
      <c r="V565" s="166"/>
      <c r="W565" s="166"/>
    </row>
    <row r="566" ht="15.75" customHeight="1">
      <c r="P566" s="165"/>
      <c r="Q566" s="166"/>
      <c r="R566" s="166"/>
      <c r="S566" s="166"/>
      <c r="T566" s="166"/>
      <c r="U566" s="166"/>
      <c r="V566" s="166"/>
      <c r="W566" s="166"/>
    </row>
    <row r="567" ht="15.75" customHeight="1">
      <c r="P567" s="165"/>
      <c r="Q567" s="166"/>
      <c r="R567" s="166"/>
      <c r="S567" s="166"/>
      <c r="T567" s="166"/>
      <c r="U567" s="166"/>
      <c r="V567" s="166"/>
      <c r="W567" s="166"/>
    </row>
    <row r="568" ht="15.75" customHeight="1">
      <c r="P568" s="165"/>
      <c r="Q568" s="166"/>
      <c r="R568" s="166"/>
      <c r="S568" s="166"/>
      <c r="T568" s="166"/>
      <c r="U568" s="166"/>
      <c r="V568" s="166"/>
      <c r="W568" s="166"/>
    </row>
    <row r="569" ht="15.75" customHeight="1">
      <c r="P569" s="165"/>
      <c r="Q569" s="166"/>
      <c r="R569" s="166"/>
      <c r="S569" s="166"/>
      <c r="T569" s="166"/>
      <c r="U569" s="166"/>
      <c r="V569" s="166"/>
      <c r="W569" s="166"/>
    </row>
    <row r="570" ht="15.75" customHeight="1">
      <c r="P570" s="165"/>
      <c r="Q570" s="166"/>
      <c r="R570" s="166"/>
      <c r="S570" s="166"/>
      <c r="T570" s="166"/>
      <c r="U570" s="166"/>
      <c r="V570" s="166"/>
      <c r="W570" s="166"/>
    </row>
    <row r="571" ht="15.75" customHeight="1">
      <c r="P571" s="165"/>
      <c r="Q571" s="166"/>
      <c r="R571" s="166"/>
      <c r="S571" s="166"/>
      <c r="T571" s="166"/>
      <c r="U571" s="166"/>
      <c r="V571" s="166"/>
      <c r="W571" s="166"/>
    </row>
    <row r="572" ht="15.75" customHeight="1">
      <c r="P572" s="165"/>
      <c r="Q572" s="166"/>
      <c r="R572" s="166"/>
      <c r="S572" s="166"/>
      <c r="T572" s="166"/>
      <c r="U572" s="166"/>
      <c r="V572" s="166"/>
      <c r="W572" s="166"/>
    </row>
    <row r="573" ht="15.75" customHeight="1">
      <c r="P573" s="165"/>
      <c r="Q573" s="166"/>
      <c r="R573" s="166"/>
      <c r="S573" s="166"/>
      <c r="T573" s="166"/>
      <c r="U573" s="166"/>
      <c r="V573" s="166"/>
      <c r="W573" s="166"/>
    </row>
    <row r="574" ht="15.75" customHeight="1">
      <c r="P574" s="165"/>
      <c r="Q574" s="166"/>
      <c r="R574" s="166"/>
      <c r="S574" s="166"/>
      <c r="T574" s="166"/>
      <c r="U574" s="166"/>
      <c r="V574" s="166"/>
      <c r="W574" s="166"/>
    </row>
    <row r="575" ht="15.75" customHeight="1">
      <c r="P575" s="165"/>
      <c r="Q575" s="166"/>
      <c r="R575" s="166"/>
      <c r="S575" s="166"/>
      <c r="T575" s="166"/>
      <c r="U575" s="166"/>
      <c r="V575" s="166"/>
      <c r="W575" s="166"/>
    </row>
    <row r="576" ht="15.75" customHeight="1">
      <c r="P576" s="165"/>
      <c r="Q576" s="166"/>
      <c r="R576" s="166"/>
      <c r="S576" s="166"/>
      <c r="T576" s="166"/>
      <c r="U576" s="166"/>
      <c r="V576" s="166"/>
      <c r="W576" s="166"/>
    </row>
    <row r="577" ht="15.75" customHeight="1">
      <c r="P577" s="165"/>
      <c r="Q577" s="166"/>
      <c r="R577" s="166"/>
      <c r="S577" s="166"/>
      <c r="T577" s="166"/>
      <c r="U577" s="166"/>
      <c r="V577" s="166"/>
      <c r="W577" s="166"/>
    </row>
    <row r="578" ht="15.75" customHeight="1">
      <c r="P578" s="165"/>
      <c r="Q578" s="166"/>
      <c r="R578" s="166"/>
      <c r="S578" s="166"/>
      <c r="T578" s="166"/>
      <c r="U578" s="166"/>
      <c r="V578" s="166"/>
      <c r="W578" s="166"/>
    </row>
    <row r="579" ht="15.75" customHeight="1">
      <c r="P579" s="165"/>
      <c r="Q579" s="166"/>
      <c r="R579" s="166"/>
      <c r="S579" s="166"/>
      <c r="T579" s="166"/>
      <c r="U579" s="166"/>
      <c r="V579" s="166"/>
      <c r="W579" s="166"/>
    </row>
    <row r="580" ht="15.75" customHeight="1">
      <c r="P580" s="165"/>
      <c r="Q580" s="166"/>
      <c r="R580" s="166"/>
      <c r="S580" s="166"/>
      <c r="T580" s="166"/>
      <c r="U580" s="166"/>
      <c r="V580" s="166"/>
      <c r="W580" s="166"/>
    </row>
    <row r="581" ht="15.75" customHeight="1">
      <c r="P581" s="165"/>
      <c r="Q581" s="166"/>
      <c r="R581" s="166"/>
      <c r="S581" s="166"/>
      <c r="T581" s="166"/>
      <c r="U581" s="166"/>
      <c r="V581" s="166"/>
      <c r="W581" s="166"/>
    </row>
    <row r="582" ht="15.75" customHeight="1">
      <c r="P582" s="165"/>
      <c r="Q582" s="166"/>
      <c r="R582" s="166"/>
      <c r="S582" s="166"/>
      <c r="T582" s="166"/>
      <c r="U582" s="166"/>
      <c r="V582" s="166"/>
      <c r="W582" s="166"/>
    </row>
    <row r="583" ht="15.75" customHeight="1">
      <c r="P583" s="165"/>
      <c r="Q583" s="166"/>
      <c r="R583" s="166"/>
      <c r="S583" s="166"/>
      <c r="T583" s="166"/>
      <c r="U583" s="166"/>
      <c r="V583" s="166"/>
      <c r="W583" s="166"/>
    </row>
    <row r="584" ht="15.75" customHeight="1">
      <c r="P584" s="165"/>
      <c r="Q584" s="166"/>
      <c r="R584" s="166"/>
      <c r="S584" s="166"/>
      <c r="T584" s="166"/>
      <c r="U584" s="166"/>
      <c r="V584" s="166"/>
      <c r="W584" s="166"/>
    </row>
    <row r="585" ht="15.75" customHeight="1">
      <c r="P585" s="165"/>
      <c r="Q585" s="166"/>
      <c r="R585" s="166"/>
      <c r="S585" s="166"/>
      <c r="T585" s="166"/>
      <c r="U585" s="166"/>
      <c r="V585" s="166"/>
      <c r="W585" s="166"/>
    </row>
    <row r="586" ht="15.75" customHeight="1">
      <c r="P586" s="165"/>
      <c r="Q586" s="166"/>
      <c r="R586" s="166"/>
      <c r="S586" s="166"/>
      <c r="T586" s="166"/>
      <c r="U586" s="166"/>
      <c r="V586" s="166"/>
      <c r="W586" s="166"/>
    </row>
    <row r="587" ht="15.75" customHeight="1">
      <c r="P587" s="165"/>
      <c r="Q587" s="166"/>
      <c r="R587" s="166"/>
      <c r="S587" s="166"/>
      <c r="T587" s="166"/>
      <c r="U587" s="166"/>
      <c r="V587" s="166"/>
      <c r="W587" s="166"/>
    </row>
    <row r="588" ht="15.75" customHeight="1">
      <c r="P588" s="165"/>
      <c r="Q588" s="166"/>
      <c r="R588" s="166"/>
      <c r="S588" s="166"/>
      <c r="T588" s="166"/>
      <c r="U588" s="166"/>
      <c r="V588" s="166"/>
      <c r="W588" s="166"/>
    </row>
    <row r="589" ht="15.75" customHeight="1">
      <c r="P589" s="165"/>
      <c r="Q589" s="166"/>
      <c r="R589" s="166"/>
      <c r="S589" s="166"/>
      <c r="T589" s="166"/>
      <c r="U589" s="166"/>
      <c r="V589" s="166"/>
      <c r="W589" s="166"/>
    </row>
    <row r="590" ht="15.75" customHeight="1">
      <c r="P590" s="165"/>
      <c r="Q590" s="166"/>
      <c r="R590" s="166"/>
      <c r="S590" s="166"/>
      <c r="T590" s="166"/>
      <c r="U590" s="166"/>
      <c r="V590" s="166"/>
      <c r="W590" s="166"/>
    </row>
    <row r="591" ht="15.75" customHeight="1">
      <c r="P591" s="165"/>
      <c r="Q591" s="166"/>
      <c r="R591" s="166"/>
      <c r="S591" s="166"/>
      <c r="T591" s="166"/>
      <c r="U591" s="166"/>
      <c r="V591" s="166"/>
      <c r="W591" s="166"/>
    </row>
    <row r="592" ht="15.75" customHeight="1">
      <c r="P592" s="165"/>
      <c r="Q592" s="166"/>
      <c r="R592" s="166"/>
      <c r="S592" s="166"/>
      <c r="T592" s="166"/>
      <c r="U592" s="166"/>
      <c r="V592" s="166"/>
      <c r="W592" s="166"/>
    </row>
    <row r="593" ht="15.75" customHeight="1">
      <c r="P593" s="165"/>
      <c r="Q593" s="166"/>
      <c r="R593" s="166"/>
      <c r="S593" s="166"/>
      <c r="T593" s="166"/>
      <c r="U593" s="166"/>
      <c r="V593" s="166"/>
      <c r="W593" s="166"/>
    </row>
    <row r="594" ht="15.75" customHeight="1">
      <c r="P594" s="165"/>
      <c r="Q594" s="166"/>
      <c r="R594" s="166"/>
      <c r="S594" s="166"/>
      <c r="T594" s="166"/>
      <c r="U594" s="166"/>
      <c r="V594" s="166"/>
      <c r="W594" s="166"/>
    </row>
    <row r="595" ht="15.75" customHeight="1">
      <c r="P595" s="165"/>
      <c r="Q595" s="166"/>
      <c r="R595" s="166"/>
      <c r="S595" s="166"/>
      <c r="T595" s="166"/>
      <c r="U595" s="166"/>
      <c r="V595" s="166"/>
      <c r="W595" s="166"/>
    </row>
    <row r="596" ht="15.75" customHeight="1">
      <c r="P596" s="165"/>
      <c r="Q596" s="166"/>
      <c r="R596" s="166"/>
      <c r="S596" s="166"/>
      <c r="T596" s="166"/>
      <c r="U596" s="166"/>
      <c r="V596" s="166"/>
      <c r="W596" s="166"/>
    </row>
    <row r="597" ht="15.75" customHeight="1">
      <c r="P597" s="165"/>
      <c r="Q597" s="166"/>
      <c r="R597" s="166"/>
      <c r="S597" s="166"/>
      <c r="T597" s="166"/>
      <c r="U597" s="166"/>
      <c r="V597" s="166"/>
      <c r="W597" s="166"/>
    </row>
    <row r="598" ht="15.75" customHeight="1">
      <c r="P598" s="165"/>
      <c r="Q598" s="166"/>
      <c r="R598" s="166"/>
      <c r="S598" s="166"/>
      <c r="T598" s="166"/>
      <c r="U598" s="166"/>
      <c r="V598" s="166"/>
      <c r="W598" s="166"/>
    </row>
    <row r="599" ht="15.75" customHeight="1">
      <c r="P599" s="165"/>
      <c r="Q599" s="166"/>
      <c r="R599" s="166"/>
      <c r="S599" s="166"/>
      <c r="T599" s="166"/>
      <c r="U599" s="166"/>
      <c r="V599" s="166"/>
      <c r="W599" s="166"/>
    </row>
    <row r="600" ht="15.75" customHeight="1">
      <c r="P600" s="165"/>
      <c r="Q600" s="166"/>
      <c r="R600" s="166"/>
      <c r="S600" s="166"/>
      <c r="T600" s="166"/>
      <c r="U600" s="166"/>
      <c r="V600" s="166"/>
      <c r="W600" s="166"/>
    </row>
    <row r="601" ht="15.75" customHeight="1">
      <c r="P601" s="165"/>
      <c r="Q601" s="166"/>
      <c r="R601" s="166"/>
      <c r="S601" s="166"/>
      <c r="T601" s="166"/>
      <c r="U601" s="166"/>
      <c r="V601" s="166"/>
      <c r="W601" s="166"/>
    </row>
    <row r="602" ht="15.75" customHeight="1">
      <c r="P602" s="165"/>
      <c r="Q602" s="166"/>
      <c r="R602" s="166"/>
      <c r="S602" s="166"/>
      <c r="T602" s="166"/>
      <c r="U602" s="166"/>
      <c r="V602" s="166"/>
      <c r="W602" s="166"/>
    </row>
    <row r="603" ht="15.75" customHeight="1">
      <c r="P603" s="165"/>
      <c r="Q603" s="166"/>
      <c r="R603" s="166"/>
      <c r="S603" s="166"/>
      <c r="T603" s="166"/>
      <c r="U603" s="166"/>
      <c r="V603" s="166"/>
      <c r="W603" s="166"/>
    </row>
    <row r="604" ht="15.75" customHeight="1">
      <c r="P604" s="165"/>
      <c r="Q604" s="166"/>
      <c r="R604" s="166"/>
      <c r="S604" s="166"/>
      <c r="T604" s="166"/>
      <c r="U604" s="166"/>
      <c r="V604" s="166"/>
      <c r="W604" s="166"/>
    </row>
    <row r="605" ht="15.75" customHeight="1">
      <c r="P605" s="165"/>
      <c r="Q605" s="166"/>
      <c r="R605" s="166"/>
      <c r="S605" s="166"/>
      <c r="T605" s="166"/>
      <c r="U605" s="166"/>
      <c r="V605" s="166"/>
      <c r="W605" s="166"/>
    </row>
    <row r="606" ht="15.75" customHeight="1">
      <c r="P606" s="165"/>
      <c r="Q606" s="166"/>
      <c r="R606" s="166"/>
      <c r="S606" s="166"/>
      <c r="T606" s="166"/>
      <c r="U606" s="166"/>
      <c r="V606" s="166"/>
      <c r="W606" s="166"/>
    </row>
    <row r="607" ht="15.75" customHeight="1">
      <c r="P607" s="165"/>
      <c r="Q607" s="166"/>
      <c r="R607" s="166"/>
      <c r="S607" s="166"/>
      <c r="T607" s="166"/>
      <c r="U607" s="166"/>
      <c r="V607" s="166"/>
      <c r="W607" s="166"/>
    </row>
    <row r="608" ht="15.75" customHeight="1">
      <c r="P608" s="165"/>
      <c r="Q608" s="166"/>
      <c r="R608" s="166"/>
      <c r="S608" s="166"/>
      <c r="T608" s="166"/>
      <c r="U608" s="166"/>
      <c r="V608" s="166"/>
      <c r="W608" s="166"/>
    </row>
    <row r="609" ht="15.75" customHeight="1">
      <c r="P609" s="165"/>
      <c r="Q609" s="166"/>
      <c r="R609" s="166"/>
      <c r="S609" s="166"/>
      <c r="T609" s="166"/>
      <c r="U609" s="166"/>
      <c r="V609" s="166"/>
      <c r="W609" s="166"/>
    </row>
    <row r="610" ht="15.75" customHeight="1">
      <c r="P610" s="165"/>
      <c r="Q610" s="166"/>
      <c r="R610" s="166"/>
      <c r="S610" s="166"/>
      <c r="T610" s="166"/>
      <c r="U610" s="166"/>
      <c r="V610" s="166"/>
      <c r="W610" s="166"/>
    </row>
    <row r="611" ht="15.75" customHeight="1">
      <c r="P611" s="165"/>
      <c r="Q611" s="166"/>
      <c r="R611" s="166"/>
      <c r="S611" s="166"/>
      <c r="T611" s="166"/>
      <c r="U611" s="166"/>
      <c r="V611" s="166"/>
      <c r="W611" s="166"/>
    </row>
    <row r="612" ht="15.75" customHeight="1">
      <c r="P612" s="165"/>
      <c r="Q612" s="166"/>
      <c r="R612" s="166"/>
      <c r="S612" s="166"/>
      <c r="T612" s="166"/>
      <c r="U612" s="166"/>
      <c r="V612" s="166"/>
      <c r="W612" s="166"/>
    </row>
    <row r="613" ht="15.75" customHeight="1">
      <c r="P613" s="165"/>
      <c r="Q613" s="166"/>
      <c r="R613" s="166"/>
      <c r="S613" s="166"/>
      <c r="T613" s="166"/>
      <c r="U613" s="166"/>
      <c r="V613" s="166"/>
      <c r="W613" s="166"/>
    </row>
    <row r="614" ht="15.75" customHeight="1">
      <c r="P614" s="165"/>
      <c r="Q614" s="166"/>
      <c r="R614" s="166"/>
      <c r="S614" s="166"/>
      <c r="T614" s="166"/>
      <c r="U614" s="166"/>
      <c r="V614" s="166"/>
      <c r="W614" s="166"/>
    </row>
    <row r="615" ht="15.75" customHeight="1">
      <c r="P615" s="165"/>
      <c r="Q615" s="166"/>
      <c r="R615" s="166"/>
      <c r="S615" s="166"/>
      <c r="T615" s="166"/>
      <c r="U615" s="166"/>
      <c r="V615" s="166"/>
      <c r="W615" s="166"/>
    </row>
    <row r="616" ht="15.75" customHeight="1">
      <c r="P616" s="165"/>
      <c r="Q616" s="166"/>
      <c r="R616" s="166"/>
      <c r="S616" s="166"/>
      <c r="T616" s="166"/>
      <c r="U616" s="166"/>
      <c r="V616" s="166"/>
      <c r="W616" s="166"/>
    </row>
    <row r="617" ht="15.75" customHeight="1">
      <c r="P617" s="165"/>
      <c r="Q617" s="166"/>
      <c r="R617" s="166"/>
      <c r="S617" s="166"/>
      <c r="T617" s="166"/>
      <c r="U617" s="166"/>
      <c r="V617" s="166"/>
      <c r="W617" s="166"/>
    </row>
    <row r="618" ht="15.75" customHeight="1">
      <c r="P618" s="165"/>
      <c r="Q618" s="166"/>
      <c r="R618" s="166"/>
      <c r="S618" s="166"/>
      <c r="T618" s="166"/>
      <c r="U618" s="166"/>
      <c r="V618" s="166"/>
      <c r="W618" s="166"/>
    </row>
    <row r="619" ht="15.75" customHeight="1">
      <c r="P619" s="165"/>
      <c r="Q619" s="166"/>
      <c r="R619" s="166"/>
      <c r="S619" s="166"/>
      <c r="T619" s="166"/>
      <c r="U619" s="166"/>
      <c r="V619" s="166"/>
      <c r="W619" s="166"/>
    </row>
    <row r="620" ht="15.75" customHeight="1">
      <c r="P620" s="165"/>
      <c r="Q620" s="166"/>
      <c r="R620" s="166"/>
      <c r="S620" s="166"/>
      <c r="T620" s="166"/>
      <c r="U620" s="166"/>
      <c r="V620" s="166"/>
      <c r="W620" s="166"/>
    </row>
    <row r="621" ht="15.75" customHeight="1">
      <c r="P621" s="165"/>
      <c r="Q621" s="166"/>
      <c r="R621" s="166"/>
      <c r="S621" s="166"/>
      <c r="T621" s="166"/>
      <c r="U621" s="166"/>
      <c r="V621" s="166"/>
      <c r="W621" s="166"/>
    </row>
    <row r="622" ht="15.75" customHeight="1">
      <c r="P622" s="165"/>
      <c r="Q622" s="166"/>
      <c r="R622" s="166"/>
      <c r="S622" s="166"/>
      <c r="T622" s="166"/>
      <c r="U622" s="166"/>
      <c r="V622" s="166"/>
      <c r="W622" s="166"/>
    </row>
    <row r="623" ht="15.75" customHeight="1">
      <c r="P623" s="165"/>
      <c r="Q623" s="166"/>
      <c r="R623" s="166"/>
      <c r="S623" s="166"/>
      <c r="T623" s="166"/>
      <c r="U623" s="166"/>
      <c r="V623" s="166"/>
      <c r="W623" s="166"/>
    </row>
    <row r="624" ht="15.75" customHeight="1">
      <c r="P624" s="165"/>
      <c r="Q624" s="166"/>
      <c r="R624" s="166"/>
      <c r="S624" s="166"/>
      <c r="T624" s="166"/>
      <c r="U624" s="166"/>
      <c r="V624" s="166"/>
      <c r="W624" s="166"/>
    </row>
    <row r="625" ht="15.75" customHeight="1">
      <c r="P625" s="165"/>
      <c r="Q625" s="166"/>
      <c r="R625" s="166"/>
      <c r="S625" s="166"/>
      <c r="T625" s="166"/>
      <c r="U625" s="166"/>
      <c r="V625" s="166"/>
      <c r="W625" s="166"/>
    </row>
    <row r="626" ht="15.75" customHeight="1">
      <c r="P626" s="165"/>
      <c r="Q626" s="166"/>
      <c r="R626" s="166"/>
      <c r="S626" s="166"/>
      <c r="T626" s="166"/>
      <c r="U626" s="166"/>
      <c r="V626" s="166"/>
      <c r="W626" s="166"/>
    </row>
    <row r="627" ht="15.75" customHeight="1">
      <c r="P627" s="165"/>
      <c r="Q627" s="166"/>
      <c r="R627" s="166"/>
      <c r="S627" s="166"/>
      <c r="T627" s="166"/>
      <c r="U627" s="166"/>
      <c r="V627" s="166"/>
      <c r="W627" s="166"/>
    </row>
    <row r="628" ht="15.75" customHeight="1">
      <c r="P628" s="165"/>
      <c r="Q628" s="166"/>
      <c r="R628" s="166"/>
      <c r="S628" s="166"/>
      <c r="T628" s="166"/>
      <c r="U628" s="166"/>
      <c r="V628" s="166"/>
      <c r="W628" s="166"/>
    </row>
    <row r="629" ht="15.75" customHeight="1">
      <c r="P629" s="165"/>
      <c r="Q629" s="166"/>
      <c r="R629" s="166"/>
      <c r="S629" s="166"/>
      <c r="T629" s="166"/>
      <c r="U629" s="166"/>
      <c r="V629" s="166"/>
      <c r="W629" s="166"/>
    </row>
    <row r="630" ht="15.75" customHeight="1">
      <c r="P630" s="165"/>
      <c r="Q630" s="166"/>
      <c r="R630" s="166"/>
      <c r="S630" s="166"/>
      <c r="T630" s="166"/>
      <c r="U630" s="166"/>
      <c r="V630" s="166"/>
      <c r="W630" s="166"/>
    </row>
    <row r="631" ht="15.75" customHeight="1">
      <c r="P631" s="165"/>
      <c r="Q631" s="166"/>
      <c r="R631" s="166"/>
      <c r="S631" s="166"/>
      <c r="T631" s="166"/>
      <c r="U631" s="166"/>
      <c r="V631" s="166"/>
      <c r="W631" s="166"/>
    </row>
    <row r="632" ht="15.75" customHeight="1">
      <c r="P632" s="165"/>
      <c r="Q632" s="166"/>
      <c r="R632" s="166"/>
      <c r="S632" s="166"/>
      <c r="T632" s="166"/>
      <c r="U632" s="166"/>
      <c r="V632" s="166"/>
      <c r="W632" s="166"/>
    </row>
    <row r="633" ht="15.75" customHeight="1">
      <c r="P633" s="165"/>
      <c r="Q633" s="166"/>
      <c r="R633" s="166"/>
      <c r="S633" s="166"/>
      <c r="T633" s="166"/>
      <c r="U633" s="166"/>
      <c r="V633" s="166"/>
      <c r="W633" s="166"/>
    </row>
    <row r="634" ht="15.75" customHeight="1">
      <c r="P634" s="165"/>
      <c r="Q634" s="166"/>
      <c r="R634" s="166"/>
      <c r="S634" s="166"/>
      <c r="T634" s="166"/>
      <c r="U634" s="166"/>
      <c r="V634" s="166"/>
      <c r="W634" s="166"/>
    </row>
    <row r="635" ht="15.75" customHeight="1">
      <c r="P635" s="165"/>
      <c r="Q635" s="166"/>
      <c r="R635" s="166"/>
      <c r="S635" s="166"/>
      <c r="T635" s="166"/>
      <c r="U635" s="166"/>
      <c r="V635" s="166"/>
      <c r="W635" s="166"/>
    </row>
    <row r="636" ht="15.75" customHeight="1">
      <c r="P636" s="165"/>
      <c r="Q636" s="166"/>
      <c r="R636" s="166"/>
      <c r="S636" s="166"/>
      <c r="T636" s="166"/>
      <c r="U636" s="166"/>
      <c r="V636" s="166"/>
      <c r="W636" s="166"/>
    </row>
    <row r="637" ht="15.75" customHeight="1">
      <c r="P637" s="165"/>
      <c r="Q637" s="166"/>
      <c r="R637" s="166"/>
      <c r="S637" s="166"/>
      <c r="T637" s="166"/>
      <c r="U637" s="166"/>
      <c r="V637" s="166"/>
      <c r="W637" s="166"/>
    </row>
    <row r="638" ht="15.75" customHeight="1">
      <c r="P638" s="165"/>
      <c r="Q638" s="166"/>
      <c r="R638" s="166"/>
      <c r="S638" s="166"/>
      <c r="T638" s="166"/>
      <c r="U638" s="166"/>
      <c r="V638" s="166"/>
      <c r="W638" s="166"/>
    </row>
    <row r="639" ht="15.75" customHeight="1">
      <c r="P639" s="165"/>
      <c r="Q639" s="166"/>
      <c r="R639" s="166"/>
      <c r="S639" s="166"/>
      <c r="T639" s="166"/>
      <c r="U639" s="166"/>
      <c r="V639" s="166"/>
      <c r="W639" s="166"/>
    </row>
    <row r="640" ht="15.75" customHeight="1">
      <c r="P640" s="165"/>
      <c r="Q640" s="166"/>
      <c r="R640" s="166"/>
      <c r="S640" s="166"/>
      <c r="T640" s="166"/>
      <c r="U640" s="166"/>
      <c r="V640" s="166"/>
      <c r="W640" s="166"/>
    </row>
    <row r="641" ht="15.75" customHeight="1">
      <c r="P641" s="165"/>
      <c r="Q641" s="166"/>
      <c r="R641" s="166"/>
      <c r="S641" s="166"/>
      <c r="T641" s="166"/>
      <c r="U641" s="166"/>
      <c r="V641" s="166"/>
      <c r="W641" s="166"/>
    </row>
    <row r="642" ht="15.75" customHeight="1">
      <c r="P642" s="165"/>
      <c r="Q642" s="166"/>
      <c r="R642" s="166"/>
      <c r="S642" s="166"/>
      <c r="T642" s="166"/>
      <c r="U642" s="166"/>
      <c r="V642" s="166"/>
      <c r="W642" s="166"/>
    </row>
    <row r="643" ht="15.75" customHeight="1">
      <c r="P643" s="165"/>
      <c r="Q643" s="166"/>
      <c r="R643" s="166"/>
      <c r="S643" s="166"/>
      <c r="T643" s="166"/>
      <c r="U643" s="166"/>
      <c r="V643" s="166"/>
      <c r="W643" s="166"/>
    </row>
    <row r="644" ht="15.75" customHeight="1">
      <c r="P644" s="165"/>
      <c r="Q644" s="166"/>
      <c r="R644" s="166"/>
      <c r="S644" s="166"/>
      <c r="T644" s="166"/>
      <c r="U644" s="166"/>
      <c r="V644" s="166"/>
      <c r="W644" s="166"/>
    </row>
    <row r="645" ht="15.75" customHeight="1">
      <c r="P645" s="165"/>
      <c r="Q645" s="166"/>
      <c r="R645" s="166"/>
      <c r="S645" s="166"/>
      <c r="T645" s="166"/>
      <c r="U645" s="166"/>
      <c r="V645" s="166"/>
      <c r="W645" s="166"/>
    </row>
    <row r="646" ht="15.75" customHeight="1">
      <c r="P646" s="165"/>
      <c r="Q646" s="166"/>
      <c r="R646" s="166"/>
      <c r="S646" s="166"/>
      <c r="T646" s="166"/>
      <c r="U646" s="166"/>
      <c r="V646" s="166"/>
      <c r="W646" s="166"/>
    </row>
    <row r="647" ht="15.75" customHeight="1">
      <c r="P647" s="165"/>
      <c r="Q647" s="166"/>
      <c r="R647" s="166"/>
      <c r="S647" s="166"/>
      <c r="T647" s="166"/>
      <c r="U647" s="166"/>
      <c r="V647" s="166"/>
      <c r="W647" s="166"/>
    </row>
    <row r="648" ht="15.75" customHeight="1">
      <c r="P648" s="165"/>
      <c r="Q648" s="166"/>
      <c r="R648" s="166"/>
      <c r="S648" s="166"/>
      <c r="T648" s="166"/>
      <c r="U648" s="166"/>
      <c r="V648" s="166"/>
      <c r="W648" s="166"/>
    </row>
    <row r="649" ht="15.75" customHeight="1">
      <c r="P649" s="165"/>
      <c r="Q649" s="166"/>
      <c r="R649" s="166"/>
      <c r="S649" s="166"/>
      <c r="T649" s="166"/>
      <c r="U649" s="166"/>
      <c r="V649" s="166"/>
      <c r="W649" s="166"/>
    </row>
    <row r="650" ht="15.75" customHeight="1">
      <c r="P650" s="165"/>
      <c r="Q650" s="166"/>
      <c r="R650" s="166"/>
      <c r="S650" s="166"/>
      <c r="T650" s="166"/>
      <c r="U650" s="166"/>
      <c r="V650" s="166"/>
      <c r="W650" s="166"/>
    </row>
    <row r="651" ht="15.75" customHeight="1">
      <c r="P651" s="165"/>
      <c r="Q651" s="166"/>
      <c r="R651" s="166"/>
      <c r="S651" s="166"/>
      <c r="T651" s="166"/>
      <c r="U651" s="166"/>
      <c r="V651" s="166"/>
      <c r="W651" s="166"/>
    </row>
    <row r="652" ht="15.75" customHeight="1">
      <c r="P652" s="165"/>
      <c r="Q652" s="166"/>
      <c r="R652" s="166"/>
      <c r="S652" s="166"/>
      <c r="T652" s="166"/>
      <c r="U652" s="166"/>
      <c r="V652" s="166"/>
      <c r="W652" s="166"/>
    </row>
    <row r="653" ht="15.75" customHeight="1">
      <c r="P653" s="165"/>
      <c r="Q653" s="166"/>
      <c r="R653" s="166"/>
      <c r="S653" s="166"/>
      <c r="T653" s="166"/>
      <c r="U653" s="166"/>
      <c r="V653" s="166"/>
      <c r="W653" s="166"/>
    </row>
    <row r="654" ht="15.75" customHeight="1">
      <c r="P654" s="165"/>
      <c r="Q654" s="166"/>
      <c r="R654" s="166"/>
      <c r="S654" s="166"/>
      <c r="T654" s="166"/>
      <c r="U654" s="166"/>
      <c r="V654" s="166"/>
      <c r="W654" s="166"/>
    </row>
    <row r="655" ht="15.75" customHeight="1">
      <c r="P655" s="165"/>
      <c r="Q655" s="166"/>
      <c r="R655" s="166"/>
      <c r="S655" s="166"/>
      <c r="T655" s="166"/>
      <c r="U655" s="166"/>
      <c r="V655" s="166"/>
      <c r="W655" s="166"/>
    </row>
    <row r="656" ht="15.75" customHeight="1">
      <c r="P656" s="165"/>
      <c r="Q656" s="166"/>
      <c r="R656" s="166"/>
      <c r="S656" s="166"/>
      <c r="T656" s="166"/>
      <c r="U656" s="166"/>
      <c r="V656" s="166"/>
      <c r="W656" s="166"/>
    </row>
    <row r="657" ht="15.75" customHeight="1">
      <c r="P657" s="165"/>
      <c r="Q657" s="166"/>
      <c r="R657" s="166"/>
      <c r="S657" s="166"/>
      <c r="T657" s="166"/>
      <c r="U657" s="166"/>
      <c r="V657" s="166"/>
      <c r="W657" s="166"/>
    </row>
    <row r="658" ht="15.75" customHeight="1">
      <c r="P658" s="165"/>
      <c r="Q658" s="166"/>
      <c r="R658" s="166"/>
      <c r="S658" s="166"/>
      <c r="T658" s="166"/>
      <c r="U658" s="166"/>
      <c r="V658" s="166"/>
      <c r="W658" s="166"/>
    </row>
    <row r="659" ht="15.75" customHeight="1">
      <c r="P659" s="165"/>
      <c r="Q659" s="166"/>
      <c r="R659" s="166"/>
      <c r="S659" s="166"/>
      <c r="T659" s="166"/>
      <c r="U659" s="166"/>
      <c r="V659" s="166"/>
      <c r="W659" s="166"/>
    </row>
    <row r="660" ht="15.75" customHeight="1">
      <c r="P660" s="165"/>
      <c r="Q660" s="166"/>
      <c r="R660" s="166"/>
      <c r="S660" s="166"/>
      <c r="T660" s="166"/>
      <c r="U660" s="166"/>
      <c r="V660" s="166"/>
      <c r="W660" s="166"/>
    </row>
    <row r="661" ht="15.75" customHeight="1">
      <c r="P661" s="165"/>
      <c r="Q661" s="166"/>
      <c r="R661" s="166"/>
      <c r="S661" s="166"/>
      <c r="T661" s="166"/>
      <c r="U661" s="166"/>
      <c r="V661" s="166"/>
      <c r="W661" s="166"/>
    </row>
    <row r="662" ht="15.75" customHeight="1">
      <c r="P662" s="165"/>
      <c r="Q662" s="166"/>
      <c r="R662" s="166"/>
      <c r="S662" s="166"/>
      <c r="T662" s="166"/>
      <c r="U662" s="166"/>
      <c r="V662" s="166"/>
      <c r="W662" s="166"/>
    </row>
    <row r="663" ht="15.75" customHeight="1">
      <c r="P663" s="165"/>
      <c r="Q663" s="166"/>
      <c r="R663" s="166"/>
      <c r="S663" s="166"/>
      <c r="T663" s="166"/>
      <c r="U663" s="166"/>
      <c r="V663" s="166"/>
      <c r="W663" s="166"/>
    </row>
    <row r="664" ht="15.75" customHeight="1">
      <c r="P664" s="165"/>
      <c r="Q664" s="166"/>
      <c r="R664" s="166"/>
      <c r="S664" s="166"/>
      <c r="T664" s="166"/>
      <c r="U664" s="166"/>
      <c r="V664" s="166"/>
      <c r="W664" s="166"/>
    </row>
    <row r="665" ht="15.75" customHeight="1">
      <c r="P665" s="165"/>
      <c r="Q665" s="166"/>
      <c r="R665" s="166"/>
      <c r="S665" s="166"/>
      <c r="T665" s="166"/>
      <c r="U665" s="166"/>
      <c r="V665" s="166"/>
      <c r="W665" s="166"/>
    </row>
    <row r="666" ht="15.75" customHeight="1">
      <c r="P666" s="165"/>
      <c r="Q666" s="166"/>
      <c r="R666" s="166"/>
      <c r="S666" s="166"/>
      <c r="T666" s="166"/>
      <c r="U666" s="166"/>
      <c r="V666" s="166"/>
      <c r="W666" s="166"/>
    </row>
    <row r="667" ht="15.75" customHeight="1">
      <c r="P667" s="165"/>
      <c r="Q667" s="166"/>
      <c r="R667" s="166"/>
      <c r="S667" s="166"/>
      <c r="T667" s="166"/>
      <c r="U667" s="166"/>
      <c r="V667" s="166"/>
      <c r="W667" s="166"/>
    </row>
    <row r="668" ht="15.75" customHeight="1">
      <c r="P668" s="165"/>
      <c r="Q668" s="166"/>
      <c r="R668" s="166"/>
      <c r="S668" s="166"/>
      <c r="T668" s="166"/>
      <c r="U668" s="166"/>
      <c r="V668" s="166"/>
      <c r="W668" s="166"/>
    </row>
    <row r="669" ht="15.75" customHeight="1">
      <c r="P669" s="165"/>
      <c r="Q669" s="166"/>
      <c r="R669" s="166"/>
      <c r="S669" s="166"/>
      <c r="T669" s="166"/>
      <c r="U669" s="166"/>
      <c r="V669" s="166"/>
      <c r="W669" s="166"/>
    </row>
    <row r="670" ht="15.75" customHeight="1">
      <c r="P670" s="165"/>
      <c r="Q670" s="166"/>
      <c r="R670" s="166"/>
      <c r="S670" s="166"/>
      <c r="T670" s="166"/>
      <c r="U670" s="166"/>
      <c r="V670" s="166"/>
      <c r="W670" s="166"/>
    </row>
    <row r="671" ht="15.75" customHeight="1">
      <c r="P671" s="165"/>
      <c r="Q671" s="166"/>
      <c r="R671" s="166"/>
      <c r="S671" s="166"/>
      <c r="T671" s="166"/>
      <c r="U671" s="166"/>
      <c r="V671" s="166"/>
      <c r="W671" s="166"/>
    </row>
    <row r="672" ht="15.75" customHeight="1">
      <c r="P672" s="165"/>
      <c r="Q672" s="166"/>
      <c r="R672" s="166"/>
      <c r="S672" s="166"/>
      <c r="T672" s="166"/>
      <c r="U672" s="166"/>
      <c r="V672" s="166"/>
      <c r="W672" s="166"/>
    </row>
    <row r="673" ht="15.75" customHeight="1">
      <c r="P673" s="165"/>
      <c r="Q673" s="166"/>
      <c r="R673" s="166"/>
      <c r="S673" s="166"/>
      <c r="T673" s="166"/>
      <c r="U673" s="166"/>
      <c r="V673" s="166"/>
      <c r="W673" s="166"/>
    </row>
    <row r="674" ht="15.75" customHeight="1">
      <c r="P674" s="165"/>
      <c r="Q674" s="166"/>
      <c r="R674" s="166"/>
      <c r="S674" s="166"/>
      <c r="T674" s="166"/>
      <c r="U674" s="166"/>
      <c r="V674" s="166"/>
      <c r="W674" s="166"/>
    </row>
    <row r="675" ht="15.75" customHeight="1">
      <c r="P675" s="165"/>
      <c r="Q675" s="166"/>
      <c r="R675" s="166"/>
      <c r="S675" s="166"/>
      <c r="T675" s="166"/>
      <c r="U675" s="166"/>
      <c r="V675" s="166"/>
      <c r="W675" s="166"/>
    </row>
    <row r="676" ht="15.75" customHeight="1">
      <c r="P676" s="165"/>
      <c r="Q676" s="166"/>
      <c r="R676" s="166"/>
      <c r="S676" s="166"/>
      <c r="T676" s="166"/>
      <c r="U676" s="166"/>
      <c r="V676" s="166"/>
      <c r="W676" s="166"/>
    </row>
    <row r="677" ht="15.75" customHeight="1">
      <c r="P677" s="165"/>
      <c r="Q677" s="166"/>
      <c r="R677" s="166"/>
      <c r="S677" s="166"/>
      <c r="T677" s="166"/>
      <c r="U677" s="166"/>
      <c r="V677" s="166"/>
      <c r="W677" s="166"/>
    </row>
    <row r="678" ht="15.75" customHeight="1">
      <c r="P678" s="165"/>
      <c r="Q678" s="166"/>
      <c r="R678" s="166"/>
      <c r="S678" s="166"/>
      <c r="T678" s="166"/>
      <c r="U678" s="166"/>
      <c r="V678" s="166"/>
      <c r="W678" s="166"/>
    </row>
    <row r="679" ht="15.75" customHeight="1">
      <c r="P679" s="165"/>
      <c r="Q679" s="166"/>
      <c r="R679" s="166"/>
      <c r="S679" s="166"/>
      <c r="T679" s="166"/>
      <c r="U679" s="166"/>
      <c r="V679" s="166"/>
      <c r="W679" s="166"/>
    </row>
    <row r="680" ht="15.75" customHeight="1">
      <c r="P680" s="165"/>
      <c r="Q680" s="166"/>
      <c r="R680" s="166"/>
      <c r="S680" s="166"/>
      <c r="T680" s="166"/>
      <c r="U680" s="166"/>
      <c r="V680" s="166"/>
      <c r="W680" s="166"/>
    </row>
    <row r="681" ht="15.75" customHeight="1">
      <c r="P681" s="165"/>
      <c r="Q681" s="166"/>
      <c r="R681" s="166"/>
      <c r="S681" s="166"/>
      <c r="T681" s="166"/>
      <c r="U681" s="166"/>
      <c r="V681" s="166"/>
      <c r="W681" s="166"/>
    </row>
    <row r="682" ht="15.75" customHeight="1">
      <c r="P682" s="165"/>
      <c r="Q682" s="166"/>
      <c r="R682" s="166"/>
      <c r="S682" s="166"/>
      <c r="T682" s="166"/>
      <c r="U682" s="166"/>
      <c r="V682" s="166"/>
      <c r="W682" s="166"/>
    </row>
    <row r="683" ht="15.75" customHeight="1">
      <c r="P683" s="165"/>
      <c r="Q683" s="166"/>
      <c r="R683" s="166"/>
      <c r="S683" s="166"/>
      <c r="T683" s="166"/>
      <c r="U683" s="166"/>
      <c r="V683" s="166"/>
      <c r="W683" s="166"/>
    </row>
    <row r="684" ht="15.75" customHeight="1">
      <c r="P684" s="165"/>
      <c r="Q684" s="166"/>
      <c r="R684" s="166"/>
      <c r="S684" s="166"/>
      <c r="T684" s="166"/>
      <c r="U684" s="166"/>
      <c r="V684" s="166"/>
      <c r="W684" s="166"/>
    </row>
    <row r="685" ht="15.75" customHeight="1">
      <c r="P685" s="165"/>
      <c r="Q685" s="166"/>
      <c r="R685" s="166"/>
      <c r="S685" s="166"/>
      <c r="T685" s="166"/>
      <c r="U685" s="166"/>
      <c r="V685" s="166"/>
      <c r="W685" s="166"/>
    </row>
    <row r="686" ht="15.75" customHeight="1">
      <c r="P686" s="165"/>
      <c r="Q686" s="166"/>
      <c r="R686" s="166"/>
      <c r="S686" s="166"/>
      <c r="T686" s="166"/>
      <c r="U686" s="166"/>
      <c r="V686" s="166"/>
      <c r="W686" s="166"/>
    </row>
    <row r="687" ht="15.75" customHeight="1">
      <c r="P687" s="165"/>
      <c r="Q687" s="166"/>
      <c r="R687" s="166"/>
      <c r="S687" s="166"/>
      <c r="T687" s="166"/>
      <c r="U687" s="166"/>
      <c r="V687" s="166"/>
      <c r="W687" s="166"/>
    </row>
    <row r="688" ht="15.75" customHeight="1">
      <c r="P688" s="165"/>
      <c r="Q688" s="166"/>
      <c r="R688" s="166"/>
      <c r="S688" s="166"/>
      <c r="T688" s="166"/>
      <c r="U688" s="166"/>
      <c r="V688" s="166"/>
      <c r="W688" s="166"/>
    </row>
    <row r="689" ht="15.75" customHeight="1">
      <c r="P689" s="165"/>
      <c r="Q689" s="166"/>
      <c r="R689" s="166"/>
      <c r="S689" s="166"/>
      <c r="T689" s="166"/>
      <c r="U689" s="166"/>
      <c r="V689" s="166"/>
      <c r="W689" s="166"/>
    </row>
    <row r="690" ht="15.75" customHeight="1">
      <c r="P690" s="165"/>
      <c r="Q690" s="166"/>
      <c r="R690" s="166"/>
      <c r="S690" s="166"/>
      <c r="T690" s="166"/>
      <c r="U690" s="166"/>
      <c r="V690" s="166"/>
      <c r="W690" s="166"/>
    </row>
    <row r="691" ht="15.75" customHeight="1">
      <c r="P691" s="165"/>
      <c r="Q691" s="166"/>
      <c r="R691" s="166"/>
      <c r="S691" s="166"/>
      <c r="T691" s="166"/>
      <c r="U691" s="166"/>
      <c r="V691" s="166"/>
      <c r="W691" s="166"/>
    </row>
    <row r="692" ht="15.75" customHeight="1">
      <c r="P692" s="165"/>
      <c r="Q692" s="166"/>
      <c r="R692" s="166"/>
      <c r="S692" s="166"/>
      <c r="T692" s="166"/>
      <c r="U692" s="166"/>
      <c r="V692" s="166"/>
      <c r="W692" s="166"/>
    </row>
    <row r="693" ht="15.75" customHeight="1">
      <c r="P693" s="165"/>
      <c r="Q693" s="166"/>
      <c r="R693" s="166"/>
      <c r="S693" s="166"/>
      <c r="T693" s="166"/>
      <c r="U693" s="166"/>
      <c r="V693" s="166"/>
      <c r="W693" s="166"/>
    </row>
    <row r="694" ht="15.75" customHeight="1">
      <c r="P694" s="165"/>
      <c r="Q694" s="166"/>
      <c r="R694" s="166"/>
      <c r="S694" s="166"/>
      <c r="T694" s="166"/>
      <c r="U694" s="166"/>
      <c r="V694" s="166"/>
      <c r="W694" s="166"/>
    </row>
    <row r="695" ht="15.75" customHeight="1">
      <c r="P695" s="165"/>
      <c r="Q695" s="166"/>
      <c r="R695" s="166"/>
      <c r="S695" s="166"/>
      <c r="T695" s="166"/>
      <c r="U695" s="166"/>
      <c r="V695" s="166"/>
      <c r="W695" s="166"/>
    </row>
    <row r="696" ht="15.75" customHeight="1">
      <c r="P696" s="165"/>
      <c r="Q696" s="166"/>
      <c r="R696" s="166"/>
      <c r="S696" s="166"/>
      <c r="T696" s="166"/>
      <c r="U696" s="166"/>
      <c r="V696" s="166"/>
      <c r="W696" s="166"/>
    </row>
    <row r="697" ht="15.75" customHeight="1">
      <c r="P697" s="165"/>
      <c r="Q697" s="166"/>
      <c r="R697" s="166"/>
      <c r="S697" s="166"/>
      <c r="T697" s="166"/>
      <c r="U697" s="166"/>
      <c r="V697" s="166"/>
      <c r="W697" s="166"/>
    </row>
    <row r="698" ht="15.75" customHeight="1">
      <c r="P698" s="165"/>
      <c r="Q698" s="166"/>
      <c r="R698" s="166"/>
      <c r="S698" s="166"/>
      <c r="T698" s="166"/>
      <c r="U698" s="166"/>
      <c r="V698" s="166"/>
      <c r="W698" s="166"/>
    </row>
    <row r="699" ht="15.75" customHeight="1">
      <c r="P699" s="165"/>
      <c r="Q699" s="166"/>
      <c r="R699" s="166"/>
      <c r="S699" s="166"/>
      <c r="T699" s="166"/>
      <c r="U699" s="166"/>
      <c r="V699" s="166"/>
      <c r="W699" s="166"/>
    </row>
    <row r="700" ht="15.75" customHeight="1">
      <c r="P700" s="165"/>
      <c r="Q700" s="166"/>
      <c r="R700" s="166"/>
      <c r="S700" s="166"/>
      <c r="T700" s="166"/>
      <c r="U700" s="166"/>
      <c r="V700" s="166"/>
      <c r="W700" s="166"/>
    </row>
    <row r="701" ht="15.75" customHeight="1">
      <c r="P701" s="165"/>
      <c r="Q701" s="166"/>
      <c r="R701" s="166"/>
      <c r="S701" s="166"/>
      <c r="T701" s="166"/>
      <c r="U701" s="166"/>
      <c r="V701" s="166"/>
      <c r="W701" s="166"/>
    </row>
    <row r="702" ht="15.75" customHeight="1">
      <c r="P702" s="165"/>
      <c r="Q702" s="166"/>
      <c r="R702" s="166"/>
      <c r="S702" s="166"/>
      <c r="T702" s="166"/>
      <c r="U702" s="166"/>
      <c r="V702" s="166"/>
      <c r="W702" s="166"/>
    </row>
    <row r="703" ht="15.75" customHeight="1">
      <c r="P703" s="165"/>
      <c r="Q703" s="166"/>
      <c r="R703" s="166"/>
      <c r="S703" s="166"/>
      <c r="T703" s="166"/>
      <c r="U703" s="166"/>
      <c r="V703" s="166"/>
      <c r="W703" s="166"/>
    </row>
    <row r="704" ht="15.75" customHeight="1">
      <c r="P704" s="165"/>
      <c r="Q704" s="166"/>
      <c r="R704" s="166"/>
      <c r="S704" s="166"/>
      <c r="T704" s="166"/>
      <c r="U704" s="166"/>
      <c r="V704" s="166"/>
      <c r="W704" s="166"/>
    </row>
    <row r="705" ht="15.75" customHeight="1">
      <c r="P705" s="165"/>
      <c r="Q705" s="166"/>
      <c r="R705" s="166"/>
      <c r="S705" s="166"/>
      <c r="T705" s="166"/>
      <c r="U705" s="166"/>
      <c r="V705" s="166"/>
      <c r="W705" s="166"/>
    </row>
    <row r="706" ht="15.75" customHeight="1">
      <c r="P706" s="165"/>
      <c r="Q706" s="166"/>
      <c r="R706" s="166"/>
      <c r="S706" s="166"/>
      <c r="T706" s="166"/>
      <c r="U706" s="166"/>
      <c r="V706" s="166"/>
      <c r="W706" s="166"/>
    </row>
    <row r="707" ht="15.75" customHeight="1">
      <c r="P707" s="165"/>
      <c r="Q707" s="166"/>
      <c r="R707" s="166"/>
      <c r="S707" s="166"/>
      <c r="T707" s="166"/>
      <c r="U707" s="166"/>
      <c r="V707" s="166"/>
      <c r="W707" s="166"/>
    </row>
    <row r="708" ht="15.75" customHeight="1">
      <c r="P708" s="165"/>
      <c r="Q708" s="166"/>
      <c r="R708" s="166"/>
      <c r="S708" s="166"/>
      <c r="T708" s="166"/>
      <c r="U708" s="166"/>
      <c r="V708" s="166"/>
      <c r="W708" s="166"/>
    </row>
    <row r="709" ht="15.75" customHeight="1">
      <c r="P709" s="165"/>
      <c r="Q709" s="166"/>
      <c r="R709" s="166"/>
      <c r="S709" s="166"/>
      <c r="T709" s="166"/>
      <c r="U709" s="166"/>
      <c r="V709" s="166"/>
      <c r="W709" s="166"/>
    </row>
    <row r="710" ht="15.75" customHeight="1">
      <c r="P710" s="165"/>
      <c r="Q710" s="166"/>
      <c r="R710" s="166"/>
      <c r="S710" s="166"/>
      <c r="T710" s="166"/>
      <c r="U710" s="166"/>
      <c r="V710" s="166"/>
      <c r="W710" s="166"/>
    </row>
    <row r="711" ht="15.75" customHeight="1">
      <c r="P711" s="165"/>
      <c r="Q711" s="166"/>
      <c r="R711" s="166"/>
      <c r="S711" s="166"/>
      <c r="T711" s="166"/>
      <c r="U711" s="166"/>
      <c r="V711" s="166"/>
      <c r="W711" s="166"/>
    </row>
    <row r="712" ht="15.75" customHeight="1">
      <c r="P712" s="165"/>
      <c r="Q712" s="166"/>
      <c r="R712" s="166"/>
      <c r="S712" s="166"/>
      <c r="T712" s="166"/>
      <c r="U712" s="166"/>
      <c r="V712" s="166"/>
      <c r="W712" s="166"/>
    </row>
    <row r="713" ht="15.75" customHeight="1">
      <c r="P713" s="165"/>
      <c r="Q713" s="166"/>
      <c r="R713" s="166"/>
      <c r="S713" s="166"/>
      <c r="T713" s="166"/>
      <c r="U713" s="166"/>
      <c r="V713" s="166"/>
      <c r="W713" s="166"/>
    </row>
    <row r="714" ht="15.75" customHeight="1">
      <c r="P714" s="165"/>
      <c r="Q714" s="166"/>
      <c r="R714" s="166"/>
      <c r="S714" s="166"/>
      <c r="T714" s="166"/>
      <c r="U714" s="166"/>
      <c r="V714" s="166"/>
      <c r="W714" s="166"/>
    </row>
    <row r="715" ht="15.75" customHeight="1">
      <c r="P715" s="165"/>
      <c r="Q715" s="166"/>
      <c r="R715" s="166"/>
      <c r="S715" s="166"/>
      <c r="T715" s="166"/>
      <c r="U715" s="166"/>
      <c r="V715" s="166"/>
      <c r="W715" s="166"/>
    </row>
    <row r="716" ht="15.75" customHeight="1">
      <c r="P716" s="165"/>
      <c r="Q716" s="166"/>
      <c r="R716" s="166"/>
      <c r="S716" s="166"/>
      <c r="T716" s="166"/>
      <c r="U716" s="166"/>
      <c r="V716" s="166"/>
      <c r="W716" s="166"/>
    </row>
    <row r="717" ht="15.75" customHeight="1">
      <c r="P717" s="165"/>
      <c r="Q717" s="166"/>
      <c r="R717" s="166"/>
      <c r="S717" s="166"/>
      <c r="T717" s="166"/>
      <c r="U717" s="166"/>
      <c r="V717" s="166"/>
      <c r="W717" s="166"/>
    </row>
    <row r="718" ht="15.75" customHeight="1">
      <c r="P718" s="165"/>
      <c r="Q718" s="166"/>
      <c r="R718" s="166"/>
      <c r="S718" s="166"/>
      <c r="T718" s="166"/>
      <c r="U718" s="166"/>
      <c r="V718" s="166"/>
      <c r="W718" s="166"/>
    </row>
    <row r="719" ht="15.75" customHeight="1">
      <c r="P719" s="165"/>
      <c r="Q719" s="166"/>
      <c r="R719" s="166"/>
      <c r="S719" s="166"/>
      <c r="T719" s="166"/>
      <c r="U719" s="166"/>
      <c r="V719" s="166"/>
      <c r="W719" s="166"/>
    </row>
    <row r="720" ht="15.75" customHeight="1">
      <c r="P720" s="165"/>
      <c r="Q720" s="166"/>
      <c r="R720" s="166"/>
      <c r="S720" s="166"/>
      <c r="T720" s="166"/>
      <c r="U720" s="166"/>
      <c r="V720" s="166"/>
      <c r="W720" s="166"/>
    </row>
    <row r="721" ht="15.75" customHeight="1">
      <c r="P721" s="165"/>
      <c r="Q721" s="166"/>
      <c r="R721" s="166"/>
      <c r="S721" s="166"/>
      <c r="T721" s="166"/>
      <c r="U721" s="166"/>
      <c r="V721" s="166"/>
      <c r="W721" s="166"/>
    </row>
    <row r="722" ht="15.75" customHeight="1">
      <c r="P722" s="165"/>
      <c r="Q722" s="166"/>
      <c r="R722" s="166"/>
      <c r="S722" s="166"/>
      <c r="T722" s="166"/>
      <c r="U722" s="166"/>
      <c r="V722" s="166"/>
      <c r="W722" s="166"/>
    </row>
    <row r="723" ht="15.75" customHeight="1">
      <c r="P723" s="165"/>
      <c r="Q723" s="166"/>
      <c r="R723" s="166"/>
      <c r="S723" s="166"/>
      <c r="T723" s="166"/>
      <c r="U723" s="166"/>
      <c r="V723" s="166"/>
      <c r="W723" s="166"/>
    </row>
    <row r="724" ht="15.75" customHeight="1">
      <c r="P724" s="165"/>
      <c r="Q724" s="166"/>
      <c r="R724" s="166"/>
      <c r="S724" s="166"/>
      <c r="T724" s="166"/>
      <c r="U724" s="166"/>
      <c r="V724" s="166"/>
      <c r="W724" s="166"/>
    </row>
    <row r="725" ht="15.75" customHeight="1">
      <c r="P725" s="165"/>
      <c r="Q725" s="166"/>
      <c r="R725" s="166"/>
      <c r="S725" s="166"/>
      <c r="T725" s="166"/>
      <c r="U725" s="166"/>
      <c r="V725" s="166"/>
      <c r="W725" s="166"/>
    </row>
    <row r="726" ht="15.75" customHeight="1">
      <c r="P726" s="165"/>
      <c r="Q726" s="166"/>
      <c r="R726" s="166"/>
      <c r="S726" s="166"/>
      <c r="T726" s="166"/>
      <c r="U726" s="166"/>
      <c r="V726" s="166"/>
      <c r="W726" s="166"/>
    </row>
    <row r="727" ht="15.75" customHeight="1">
      <c r="P727" s="165"/>
      <c r="Q727" s="166"/>
      <c r="R727" s="166"/>
      <c r="S727" s="166"/>
      <c r="T727" s="166"/>
      <c r="U727" s="166"/>
      <c r="V727" s="166"/>
      <c r="W727" s="166"/>
    </row>
    <row r="728" ht="15.75" customHeight="1">
      <c r="P728" s="165"/>
      <c r="Q728" s="166"/>
      <c r="R728" s="166"/>
      <c r="S728" s="166"/>
      <c r="T728" s="166"/>
      <c r="U728" s="166"/>
      <c r="V728" s="166"/>
      <c r="W728" s="166"/>
    </row>
    <row r="729" ht="15.75" customHeight="1">
      <c r="P729" s="165"/>
      <c r="Q729" s="166"/>
      <c r="R729" s="166"/>
      <c r="S729" s="166"/>
      <c r="T729" s="166"/>
      <c r="U729" s="166"/>
      <c r="V729" s="166"/>
      <c r="W729" s="166"/>
    </row>
    <row r="730" ht="15.75" customHeight="1">
      <c r="P730" s="165"/>
      <c r="Q730" s="166"/>
      <c r="R730" s="166"/>
      <c r="S730" s="166"/>
      <c r="T730" s="166"/>
      <c r="U730" s="166"/>
      <c r="V730" s="166"/>
      <c r="W730" s="166"/>
    </row>
    <row r="731" ht="15.75" customHeight="1">
      <c r="P731" s="165"/>
      <c r="Q731" s="166"/>
      <c r="R731" s="166"/>
      <c r="S731" s="166"/>
      <c r="T731" s="166"/>
      <c r="U731" s="166"/>
      <c r="V731" s="166"/>
      <c r="W731" s="166"/>
    </row>
    <row r="732" ht="15.75" customHeight="1">
      <c r="P732" s="165"/>
      <c r="Q732" s="166"/>
      <c r="R732" s="166"/>
      <c r="S732" s="166"/>
      <c r="T732" s="166"/>
      <c r="U732" s="166"/>
      <c r="V732" s="166"/>
      <c r="W732" s="166"/>
    </row>
    <row r="733" ht="15.75" customHeight="1">
      <c r="P733" s="165"/>
      <c r="Q733" s="166"/>
      <c r="R733" s="166"/>
      <c r="S733" s="166"/>
      <c r="T733" s="166"/>
      <c r="U733" s="166"/>
      <c r="V733" s="166"/>
      <c r="W733" s="166"/>
    </row>
    <row r="734" ht="15.75" customHeight="1">
      <c r="P734" s="165"/>
      <c r="Q734" s="166"/>
      <c r="R734" s="166"/>
      <c r="S734" s="166"/>
      <c r="T734" s="166"/>
      <c r="U734" s="166"/>
      <c r="V734" s="166"/>
      <c r="W734" s="166"/>
    </row>
    <row r="735" ht="15.75" customHeight="1">
      <c r="P735" s="165"/>
      <c r="Q735" s="166"/>
      <c r="R735" s="166"/>
      <c r="S735" s="166"/>
      <c r="T735" s="166"/>
      <c r="U735" s="166"/>
      <c r="V735" s="166"/>
      <c r="W735" s="166"/>
    </row>
    <row r="736" ht="15.75" customHeight="1">
      <c r="P736" s="165"/>
      <c r="Q736" s="166"/>
      <c r="R736" s="166"/>
      <c r="S736" s="166"/>
      <c r="T736" s="166"/>
      <c r="U736" s="166"/>
      <c r="V736" s="166"/>
      <c r="W736" s="166"/>
    </row>
    <row r="737" ht="15.75" customHeight="1">
      <c r="P737" s="165"/>
      <c r="Q737" s="166"/>
      <c r="R737" s="166"/>
      <c r="S737" s="166"/>
      <c r="T737" s="166"/>
      <c r="U737" s="166"/>
      <c r="V737" s="166"/>
      <c r="W737" s="166"/>
    </row>
    <row r="738" ht="15.75" customHeight="1">
      <c r="P738" s="165"/>
      <c r="Q738" s="166"/>
      <c r="R738" s="166"/>
      <c r="S738" s="166"/>
      <c r="T738" s="166"/>
      <c r="U738" s="166"/>
      <c r="V738" s="166"/>
      <c r="W738" s="166"/>
    </row>
    <row r="739" ht="15.75" customHeight="1">
      <c r="P739" s="165"/>
      <c r="Q739" s="166"/>
      <c r="R739" s="166"/>
      <c r="S739" s="166"/>
      <c r="T739" s="166"/>
      <c r="U739" s="166"/>
      <c r="V739" s="166"/>
      <c r="W739" s="166"/>
    </row>
    <row r="740" ht="15.75" customHeight="1">
      <c r="P740" s="165"/>
      <c r="Q740" s="166"/>
      <c r="R740" s="166"/>
      <c r="S740" s="166"/>
      <c r="T740" s="166"/>
      <c r="U740" s="166"/>
      <c r="V740" s="166"/>
      <c r="W740" s="166"/>
    </row>
    <row r="741" ht="15.75" customHeight="1">
      <c r="P741" s="165"/>
      <c r="Q741" s="166"/>
      <c r="R741" s="166"/>
      <c r="S741" s="166"/>
      <c r="T741" s="166"/>
      <c r="U741" s="166"/>
      <c r="V741" s="166"/>
      <c r="W741" s="166"/>
    </row>
    <row r="742" ht="15.75" customHeight="1">
      <c r="P742" s="165"/>
      <c r="Q742" s="166"/>
      <c r="R742" s="166"/>
      <c r="S742" s="166"/>
      <c r="T742" s="166"/>
      <c r="U742" s="166"/>
      <c r="V742" s="166"/>
      <c r="W742" s="166"/>
    </row>
    <row r="743" ht="15.75" customHeight="1">
      <c r="P743" s="165"/>
      <c r="Q743" s="166"/>
      <c r="R743" s="166"/>
      <c r="S743" s="166"/>
      <c r="T743" s="166"/>
      <c r="U743" s="166"/>
      <c r="V743" s="166"/>
      <c r="W743" s="166"/>
    </row>
    <row r="744" ht="15.75" customHeight="1">
      <c r="P744" s="165"/>
      <c r="Q744" s="166"/>
      <c r="R744" s="166"/>
      <c r="S744" s="166"/>
      <c r="T744" s="166"/>
      <c r="U744" s="166"/>
      <c r="V744" s="166"/>
      <c r="W744" s="166"/>
    </row>
    <row r="745" ht="15.75" customHeight="1">
      <c r="P745" s="165"/>
      <c r="Q745" s="166"/>
      <c r="R745" s="166"/>
      <c r="S745" s="166"/>
      <c r="T745" s="166"/>
      <c r="U745" s="166"/>
      <c r="V745" s="166"/>
      <c r="W745" s="166"/>
    </row>
    <row r="746" ht="15.75" customHeight="1">
      <c r="P746" s="165"/>
      <c r="Q746" s="166"/>
      <c r="R746" s="166"/>
      <c r="S746" s="166"/>
      <c r="T746" s="166"/>
      <c r="U746" s="166"/>
      <c r="V746" s="166"/>
      <c r="W746" s="166"/>
    </row>
    <row r="747" ht="15.75" customHeight="1">
      <c r="P747" s="165"/>
      <c r="Q747" s="166"/>
      <c r="R747" s="166"/>
      <c r="S747" s="166"/>
      <c r="T747" s="166"/>
      <c r="U747" s="166"/>
      <c r="V747" s="166"/>
      <c r="W747" s="166"/>
    </row>
    <row r="748" ht="15.75" customHeight="1">
      <c r="P748" s="165"/>
      <c r="Q748" s="166"/>
      <c r="R748" s="166"/>
      <c r="S748" s="166"/>
      <c r="T748" s="166"/>
      <c r="U748" s="166"/>
      <c r="V748" s="166"/>
      <c r="W748" s="166"/>
    </row>
    <row r="749" ht="15.75" customHeight="1">
      <c r="P749" s="165"/>
      <c r="Q749" s="166"/>
      <c r="R749" s="166"/>
      <c r="S749" s="166"/>
      <c r="T749" s="166"/>
      <c r="U749" s="166"/>
      <c r="V749" s="166"/>
      <c r="W749" s="166"/>
    </row>
    <row r="750" ht="15.75" customHeight="1">
      <c r="P750" s="165"/>
      <c r="Q750" s="166"/>
      <c r="R750" s="166"/>
      <c r="S750" s="166"/>
      <c r="T750" s="166"/>
      <c r="U750" s="166"/>
      <c r="V750" s="166"/>
      <c r="W750" s="166"/>
    </row>
    <row r="751" ht="15.75" customHeight="1">
      <c r="P751" s="165"/>
      <c r="Q751" s="166"/>
      <c r="R751" s="166"/>
      <c r="S751" s="166"/>
      <c r="T751" s="166"/>
      <c r="U751" s="166"/>
      <c r="V751" s="166"/>
      <c r="W751" s="166"/>
    </row>
    <row r="752" ht="15.75" customHeight="1">
      <c r="P752" s="165"/>
      <c r="Q752" s="166"/>
      <c r="R752" s="166"/>
      <c r="S752" s="166"/>
      <c r="T752" s="166"/>
      <c r="U752" s="166"/>
      <c r="V752" s="166"/>
      <c r="W752" s="166"/>
    </row>
    <row r="753" ht="15.75" customHeight="1">
      <c r="P753" s="165"/>
      <c r="Q753" s="166"/>
      <c r="R753" s="166"/>
      <c r="S753" s="166"/>
      <c r="T753" s="166"/>
      <c r="U753" s="166"/>
      <c r="V753" s="166"/>
      <c r="W753" s="166"/>
    </row>
    <row r="754" ht="15.75" customHeight="1">
      <c r="P754" s="165"/>
      <c r="Q754" s="166"/>
      <c r="R754" s="166"/>
      <c r="S754" s="166"/>
      <c r="T754" s="166"/>
      <c r="U754" s="166"/>
      <c r="V754" s="166"/>
      <c r="W754" s="166"/>
    </row>
    <row r="755" ht="15.75" customHeight="1">
      <c r="P755" s="165"/>
      <c r="Q755" s="166"/>
      <c r="R755" s="166"/>
      <c r="S755" s="166"/>
      <c r="T755" s="166"/>
      <c r="U755" s="166"/>
      <c r="V755" s="166"/>
      <c r="W755" s="166"/>
    </row>
    <row r="756" ht="15.75" customHeight="1">
      <c r="P756" s="165"/>
      <c r="Q756" s="166"/>
      <c r="R756" s="166"/>
      <c r="S756" s="166"/>
      <c r="T756" s="166"/>
      <c r="U756" s="166"/>
      <c r="V756" s="166"/>
      <c r="W756" s="166"/>
    </row>
    <row r="757" ht="15.75" customHeight="1">
      <c r="P757" s="165"/>
      <c r="Q757" s="166"/>
      <c r="R757" s="166"/>
      <c r="S757" s="166"/>
      <c r="T757" s="166"/>
      <c r="U757" s="166"/>
      <c r="V757" s="166"/>
      <c r="W757" s="166"/>
    </row>
    <row r="758" ht="15.75" customHeight="1">
      <c r="P758" s="165"/>
      <c r="Q758" s="166"/>
      <c r="R758" s="166"/>
      <c r="S758" s="166"/>
      <c r="T758" s="166"/>
      <c r="U758" s="166"/>
      <c r="V758" s="166"/>
      <c r="W758" s="166"/>
    </row>
    <row r="759" ht="15.75" customHeight="1">
      <c r="P759" s="165"/>
      <c r="Q759" s="166"/>
      <c r="R759" s="166"/>
      <c r="S759" s="166"/>
      <c r="T759" s="166"/>
      <c r="U759" s="166"/>
      <c r="V759" s="166"/>
      <c r="W759" s="166"/>
    </row>
    <row r="760" ht="15.75" customHeight="1">
      <c r="P760" s="165"/>
      <c r="Q760" s="166"/>
      <c r="R760" s="166"/>
      <c r="S760" s="166"/>
      <c r="T760" s="166"/>
      <c r="U760" s="166"/>
      <c r="V760" s="166"/>
      <c r="W760" s="166"/>
    </row>
    <row r="761" ht="15.75" customHeight="1">
      <c r="P761" s="165"/>
      <c r="Q761" s="166"/>
      <c r="R761" s="166"/>
      <c r="S761" s="166"/>
      <c r="T761" s="166"/>
      <c r="U761" s="166"/>
      <c r="V761" s="166"/>
      <c r="W761" s="166"/>
    </row>
    <row r="762" ht="15.75" customHeight="1">
      <c r="P762" s="165"/>
      <c r="Q762" s="166"/>
      <c r="R762" s="166"/>
      <c r="S762" s="166"/>
      <c r="T762" s="166"/>
      <c r="U762" s="166"/>
      <c r="V762" s="166"/>
      <c r="W762" s="166"/>
    </row>
    <row r="763" ht="15.75" customHeight="1">
      <c r="P763" s="165"/>
      <c r="Q763" s="166"/>
      <c r="R763" s="166"/>
      <c r="S763" s="166"/>
      <c r="T763" s="166"/>
      <c r="U763" s="166"/>
      <c r="V763" s="166"/>
      <c r="W763" s="166"/>
    </row>
    <row r="764" ht="15.75" customHeight="1">
      <c r="P764" s="165"/>
      <c r="Q764" s="166"/>
      <c r="R764" s="166"/>
      <c r="S764" s="166"/>
      <c r="T764" s="166"/>
      <c r="U764" s="166"/>
      <c r="V764" s="166"/>
      <c r="W764" s="166"/>
    </row>
    <row r="765" ht="15.75" customHeight="1">
      <c r="P765" s="165"/>
      <c r="Q765" s="166"/>
      <c r="R765" s="166"/>
      <c r="S765" s="166"/>
      <c r="T765" s="166"/>
      <c r="U765" s="166"/>
      <c r="V765" s="166"/>
      <c r="W765" s="166"/>
    </row>
    <row r="766" ht="15.75" customHeight="1">
      <c r="P766" s="165"/>
      <c r="Q766" s="166"/>
      <c r="R766" s="166"/>
      <c r="S766" s="166"/>
      <c r="T766" s="166"/>
      <c r="U766" s="166"/>
      <c r="V766" s="166"/>
      <c r="W766" s="166"/>
    </row>
    <row r="767" ht="15.75" customHeight="1">
      <c r="P767" s="165"/>
      <c r="Q767" s="166"/>
      <c r="R767" s="166"/>
      <c r="S767" s="166"/>
      <c r="T767" s="166"/>
      <c r="U767" s="166"/>
      <c r="V767" s="166"/>
      <c r="W767" s="166"/>
    </row>
    <row r="768" ht="15.75" customHeight="1">
      <c r="P768" s="165"/>
      <c r="Q768" s="166"/>
      <c r="R768" s="166"/>
      <c r="S768" s="166"/>
      <c r="T768" s="166"/>
      <c r="U768" s="166"/>
      <c r="V768" s="166"/>
      <c r="W768" s="166"/>
    </row>
    <row r="769" ht="15.75" customHeight="1">
      <c r="P769" s="165"/>
      <c r="Q769" s="166"/>
      <c r="R769" s="166"/>
      <c r="S769" s="166"/>
      <c r="T769" s="166"/>
      <c r="U769" s="166"/>
      <c r="V769" s="166"/>
      <c r="W769" s="166"/>
    </row>
    <row r="770" ht="15.75" customHeight="1">
      <c r="P770" s="165"/>
      <c r="Q770" s="166"/>
      <c r="R770" s="166"/>
      <c r="S770" s="166"/>
      <c r="T770" s="166"/>
      <c r="U770" s="166"/>
      <c r="V770" s="166"/>
      <c r="W770" s="166"/>
    </row>
    <row r="771" ht="15.75" customHeight="1">
      <c r="P771" s="165"/>
      <c r="Q771" s="166"/>
      <c r="R771" s="166"/>
      <c r="S771" s="166"/>
      <c r="T771" s="166"/>
      <c r="U771" s="166"/>
      <c r="V771" s="166"/>
      <c r="W771" s="166"/>
    </row>
    <row r="772" ht="15.75" customHeight="1">
      <c r="P772" s="165"/>
      <c r="Q772" s="166"/>
      <c r="R772" s="166"/>
      <c r="S772" s="166"/>
      <c r="T772" s="166"/>
      <c r="U772" s="166"/>
      <c r="V772" s="166"/>
      <c r="W772" s="166"/>
    </row>
    <row r="773" ht="15.75" customHeight="1">
      <c r="P773" s="165"/>
      <c r="Q773" s="166"/>
      <c r="R773" s="166"/>
      <c r="S773" s="166"/>
      <c r="T773" s="166"/>
      <c r="U773" s="166"/>
      <c r="V773" s="166"/>
      <c r="W773" s="166"/>
    </row>
    <row r="774" ht="15.75" customHeight="1">
      <c r="P774" s="165"/>
      <c r="Q774" s="166"/>
      <c r="R774" s="166"/>
      <c r="S774" s="166"/>
      <c r="T774" s="166"/>
      <c r="U774" s="166"/>
      <c r="V774" s="166"/>
      <c r="W774" s="166"/>
    </row>
    <row r="775" ht="15.75" customHeight="1">
      <c r="P775" s="165"/>
      <c r="Q775" s="166"/>
      <c r="R775" s="166"/>
      <c r="S775" s="166"/>
      <c r="T775" s="166"/>
      <c r="U775" s="166"/>
      <c r="V775" s="166"/>
      <c r="W775" s="166"/>
    </row>
    <row r="776" ht="15.75" customHeight="1">
      <c r="P776" s="165"/>
      <c r="Q776" s="166"/>
      <c r="R776" s="166"/>
      <c r="S776" s="166"/>
      <c r="T776" s="166"/>
      <c r="U776" s="166"/>
      <c r="V776" s="166"/>
      <c r="W776" s="166"/>
    </row>
    <row r="777" ht="15.75" customHeight="1">
      <c r="P777" s="165"/>
      <c r="Q777" s="166"/>
      <c r="R777" s="166"/>
      <c r="S777" s="166"/>
      <c r="T777" s="166"/>
      <c r="U777" s="166"/>
      <c r="V777" s="166"/>
      <c r="W777" s="166"/>
    </row>
    <row r="778" ht="15.75" customHeight="1">
      <c r="P778" s="165"/>
      <c r="Q778" s="166"/>
      <c r="R778" s="166"/>
      <c r="S778" s="166"/>
      <c r="T778" s="166"/>
      <c r="U778" s="166"/>
      <c r="V778" s="166"/>
      <c r="W778" s="166"/>
    </row>
    <row r="779" ht="15.75" customHeight="1">
      <c r="P779" s="165"/>
      <c r="Q779" s="166"/>
      <c r="R779" s="166"/>
      <c r="S779" s="166"/>
      <c r="T779" s="166"/>
      <c r="U779" s="166"/>
      <c r="V779" s="166"/>
      <c r="W779" s="166"/>
    </row>
    <row r="780" ht="15.75" customHeight="1">
      <c r="P780" s="165"/>
      <c r="Q780" s="166"/>
      <c r="R780" s="166"/>
      <c r="S780" s="166"/>
      <c r="T780" s="166"/>
      <c r="U780" s="166"/>
      <c r="V780" s="166"/>
      <c r="W780" s="166"/>
    </row>
    <row r="781" ht="15.75" customHeight="1">
      <c r="P781" s="165"/>
      <c r="Q781" s="166"/>
      <c r="R781" s="166"/>
      <c r="S781" s="166"/>
      <c r="T781" s="166"/>
      <c r="U781" s="166"/>
      <c r="V781" s="166"/>
      <c r="W781" s="166"/>
    </row>
    <row r="782" ht="15.75" customHeight="1">
      <c r="P782" s="165"/>
      <c r="Q782" s="166"/>
      <c r="R782" s="166"/>
      <c r="S782" s="166"/>
      <c r="T782" s="166"/>
      <c r="U782" s="166"/>
      <c r="V782" s="166"/>
      <c r="W782" s="166"/>
    </row>
    <row r="783" ht="15.75" customHeight="1">
      <c r="P783" s="165"/>
      <c r="Q783" s="166"/>
      <c r="R783" s="166"/>
      <c r="S783" s="166"/>
      <c r="T783" s="166"/>
      <c r="U783" s="166"/>
      <c r="V783" s="166"/>
      <c r="W783" s="166"/>
    </row>
    <row r="784" ht="15.75" customHeight="1">
      <c r="P784" s="165"/>
      <c r="Q784" s="166"/>
      <c r="R784" s="166"/>
      <c r="S784" s="166"/>
      <c r="T784" s="166"/>
      <c r="U784" s="166"/>
      <c r="V784" s="166"/>
      <c r="W784" s="166"/>
    </row>
    <row r="785" ht="15.75" customHeight="1">
      <c r="P785" s="165"/>
      <c r="Q785" s="166"/>
      <c r="R785" s="166"/>
      <c r="S785" s="166"/>
      <c r="T785" s="166"/>
      <c r="U785" s="166"/>
      <c r="V785" s="166"/>
      <c r="W785" s="166"/>
    </row>
    <row r="786" ht="15.75" customHeight="1">
      <c r="P786" s="165"/>
      <c r="Q786" s="166"/>
      <c r="R786" s="166"/>
      <c r="S786" s="166"/>
      <c r="T786" s="166"/>
      <c r="U786" s="166"/>
      <c r="V786" s="166"/>
      <c r="W786" s="166"/>
    </row>
    <row r="787" ht="15.75" customHeight="1">
      <c r="P787" s="165"/>
      <c r="Q787" s="166"/>
      <c r="R787" s="166"/>
      <c r="S787" s="166"/>
      <c r="T787" s="166"/>
      <c r="U787" s="166"/>
      <c r="V787" s="166"/>
      <c r="W787" s="166"/>
    </row>
    <row r="788" ht="15.75" customHeight="1">
      <c r="P788" s="165"/>
      <c r="Q788" s="166"/>
      <c r="R788" s="166"/>
      <c r="S788" s="166"/>
      <c r="T788" s="166"/>
      <c r="U788" s="166"/>
      <c r="V788" s="166"/>
      <c r="W788" s="166"/>
    </row>
    <row r="789" ht="15.75" customHeight="1">
      <c r="P789" s="165"/>
      <c r="Q789" s="166"/>
      <c r="R789" s="166"/>
      <c r="S789" s="166"/>
      <c r="T789" s="166"/>
      <c r="U789" s="166"/>
      <c r="V789" s="166"/>
      <c r="W789" s="166"/>
    </row>
    <row r="790" ht="15.75" customHeight="1">
      <c r="P790" s="165"/>
      <c r="Q790" s="166"/>
      <c r="R790" s="166"/>
      <c r="S790" s="166"/>
      <c r="T790" s="166"/>
      <c r="U790" s="166"/>
      <c r="V790" s="166"/>
      <c r="W790" s="166"/>
    </row>
    <row r="791" ht="15.75" customHeight="1">
      <c r="P791" s="165"/>
      <c r="Q791" s="166"/>
      <c r="R791" s="166"/>
      <c r="S791" s="166"/>
      <c r="T791" s="166"/>
      <c r="U791" s="166"/>
      <c r="V791" s="166"/>
      <c r="W791" s="166"/>
    </row>
    <row r="792" ht="15.75" customHeight="1">
      <c r="P792" s="165"/>
      <c r="Q792" s="166"/>
      <c r="R792" s="166"/>
      <c r="S792" s="166"/>
      <c r="T792" s="166"/>
      <c r="U792" s="166"/>
      <c r="V792" s="166"/>
      <c r="W792" s="166"/>
    </row>
    <row r="793" ht="15.75" customHeight="1">
      <c r="P793" s="165"/>
      <c r="Q793" s="166"/>
      <c r="R793" s="166"/>
      <c r="S793" s="166"/>
      <c r="T793" s="166"/>
      <c r="U793" s="166"/>
      <c r="V793" s="166"/>
      <c r="W793" s="166"/>
    </row>
    <row r="794" ht="15.75" customHeight="1">
      <c r="P794" s="165"/>
      <c r="Q794" s="166"/>
      <c r="R794" s="166"/>
      <c r="S794" s="166"/>
      <c r="T794" s="166"/>
      <c r="U794" s="166"/>
      <c r="V794" s="166"/>
      <c r="W794" s="166"/>
    </row>
    <row r="795" ht="15.75" customHeight="1">
      <c r="P795" s="165"/>
      <c r="Q795" s="166"/>
      <c r="R795" s="166"/>
      <c r="S795" s="166"/>
      <c r="T795" s="166"/>
      <c r="U795" s="166"/>
      <c r="V795" s="166"/>
      <c r="W795" s="166"/>
    </row>
    <row r="796" ht="15.75" customHeight="1">
      <c r="P796" s="165"/>
      <c r="Q796" s="166"/>
      <c r="R796" s="166"/>
      <c r="S796" s="166"/>
      <c r="T796" s="166"/>
      <c r="U796" s="166"/>
      <c r="V796" s="166"/>
      <c r="W796" s="166"/>
    </row>
    <row r="797" ht="15.75" customHeight="1">
      <c r="P797" s="165"/>
      <c r="Q797" s="166"/>
      <c r="R797" s="166"/>
      <c r="S797" s="166"/>
      <c r="T797" s="166"/>
      <c r="U797" s="166"/>
      <c r="V797" s="166"/>
      <c r="W797" s="166"/>
    </row>
    <row r="798" ht="15.75" customHeight="1">
      <c r="P798" s="165"/>
      <c r="Q798" s="166"/>
      <c r="R798" s="166"/>
      <c r="S798" s="166"/>
      <c r="T798" s="166"/>
      <c r="U798" s="166"/>
      <c r="V798" s="166"/>
      <c r="W798" s="166"/>
    </row>
    <row r="799" ht="15.75" customHeight="1">
      <c r="P799" s="165"/>
      <c r="Q799" s="166"/>
      <c r="R799" s="166"/>
      <c r="S799" s="166"/>
      <c r="T799" s="166"/>
      <c r="U799" s="166"/>
      <c r="V799" s="166"/>
      <c r="W799" s="166"/>
    </row>
    <row r="800" ht="15.75" customHeight="1">
      <c r="P800" s="165"/>
      <c r="Q800" s="166"/>
      <c r="R800" s="166"/>
      <c r="S800" s="166"/>
      <c r="T800" s="166"/>
      <c r="U800" s="166"/>
      <c r="V800" s="166"/>
      <c r="W800" s="166"/>
    </row>
    <row r="801" ht="15.75" customHeight="1">
      <c r="P801" s="165"/>
      <c r="Q801" s="166"/>
      <c r="R801" s="166"/>
      <c r="S801" s="166"/>
      <c r="T801" s="166"/>
      <c r="U801" s="166"/>
      <c r="V801" s="166"/>
      <c r="W801" s="166"/>
    </row>
    <row r="802" ht="15.75" customHeight="1">
      <c r="P802" s="165"/>
      <c r="Q802" s="166"/>
      <c r="R802" s="166"/>
      <c r="S802" s="166"/>
      <c r="T802" s="166"/>
      <c r="U802" s="166"/>
      <c r="V802" s="166"/>
      <c r="W802" s="166"/>
    </row>
    <row r="803" ht="15.75" customHeight="1">
      <c r="P803" s="165"/>
      <c r="Q803" s="166"/>
      <c r="R803" s="166"/>
      <c r="S803" s="166"/>
      <c r="T803" s="166"/>
      <c r="U803" s="166"/>
      <c r="V803" s="166"/>
      <c r="W803" s="166"/>
    </row>
    <row r="804" ht="15.75" customHeight="1">
      <c r="P804" s="165"/>
      <c r="Q804" s="166"/>
      <c r="R804" s="166"/>
      <c r="S804" s="166"/>
      <c r="T804" s="166"/>
      <c r="U804" s="166"/>
      <c r="V804" s="166"/>
      <c r="W804" s="166"/>
    </row>
    <row r="805" ht="15.75" customHeight="1">
      <c r="P805" s="165"/>
      <c r="Q805" s="166"/>
      <c r="R805" s="166"/>
      <c r="S805" s="166"/>
      <c r="T805" s="166"/>
      <c r="U805" s="166"/>
      <c r="V805" s="166"/>
      <c r="W805" s="166"/>
    </row>
    <row r="806" ht="15.75" customHeight="1">
      <c r="P806" s="165"/>
      <c r="Q806" s="166"/>
      <c r="R806" s="166"/>
      <c r="S806" s="166"/>
      <c r="T806" s="166"/>
      <c r="U806" s="166"/>
      <c r="V806" s="166"/>
      <c r="W806" s="166"/>
    </row>
    <row r="807" ht="15.75" customHeight="1">
      <c r="P807" s="165"/>
      <c r="Q807" s="166"/>
      <c r="R807" s="166"/>
      <c r="S807" s="166"/>
      <c r="T807" s="166"/>
      <c r="U807" s="166"/>
      <c r="V807" s="166"/>
      <c r="W807" s="166"/>
    </row>
    <row r="808" ht="15.75" customHeight="1">
      <c r="P808" s="165"/>
      <c r="Q808" s="166"/>
      <c r="R808" s="166"/>
      <c r="S808" s="166"/>
      <c r="T808" s="166"/>
      <c r="U808" s="166"/>
      <c r="V808" s="166"/>
      <c r="W808" s="166"/>
    </row>
    <row r="809" ht="15.75" customHeight="1">
      <c r="P809" s="165"/>
      <c r="Q809" s="166"/>
      <c r="R809" s="166"/>
      <c r="S809" s="166"/>
      <c r="T809" s="166"/>
      <c r="U809" s="166"/>
      <c r="V809" s="166"/>
      <c r="W809" s="166"/>
    </row>
    <row r="810" ht="15.75" customHeight="1">
      <c r="P810" s="165"/>
      <c r="Q810" s="166"/>
      <c r="R810" s="166"/>
      <c r="S810" s="166"/>
      <c r="T810" s="166"/>
      <c r="U810" s="166"/>
      <c r="V810" s="166"/>
      <c r="W810" s="166"/>
    </row>
    <row r="811" ht="15.75" customHeight="1">
      <c r="P811" s="165"/>
      <c r="Q811" s="166"/>
      <c r="R811" s="166"/>
      <c r="S811" s="166"/>
      <c r="T811" s="166"/>
      <c r="U811" s="166"/>
      <c r="V811" s="166"/>
      <c r="W811" s="166"/>
    </row>
    <row r="812" ht="15.75" customHeight="1">
      <c r="P812" s="165"/>
      <c r="Q812" s="166"/>
      <c r="R812" s="166"/>
      <c r="S812" s="166"/>
      <c r="T812" s="166"/>
      <c r="U812" s="166"/>
      <c r="V812" s="166"/>
      <c r="W812" s="166"/>
    </row>
    <row r="813" ht="15.75" customHeight="1">
      <c r="P813" s="165"/>
      <c r="Q813" s="166"/>
      <c r="R813" s="166"/>
      <c r="S813" s="166"/>
      <c r="T813" s="166"/>
      <c r="U813" s="166"/>
      <c r="V813" s="166"/>
      <c r="W813" s="166"/>
    </row>
    <row r="814" ht="15.75" customHeight="1">
      <c r="P814" s="165"/>
      <c r="Q814" s="166"/>
      <c r="R814" s="166"/>
      <c r="S814" s="166"/>
      <c r="T814" s="166"/>
      <c r="U814" s="166"/>
      <c r="V814" s="166"/>
      <c r="W814" s="166"/>
    </row>
    <row r="815" ht="15.75" customHeight="1">
      <c r="P815" s="165"/>
      <c r="Q815" s="166"/>
      <c r="R815" s="166"/>
      <c r="S815" s="166"/>
      <c r="T815" s="166"/>
      <c r="U815" s="166"/>
      <c r="V815" s="166"/>
      <c r="W815" s="166"/>
    </row>
    <row r="816" ht="15.75" customHeight="1">
      <c r="P816" s="165"/>
      <c r="Q816" s="166"/>
      <c r="R816" s="166"/>
      <c r="S816" s="166"/>
      <c r="T816" s="166"/>
      <c r="U816" s="166"/>
      <c r="V816" s="166"/>
      <c r="W816" s="166"/>
    </row>
    <row r="817" ht="15.75" customHeight="1">
      <c r="P817" s="165"/>
      <c r="Q817" s="166"/>
      <c r="R817" s="166"/>
      <c r="S817" s="166"/>
      <c r="T817" s="166"/>
      <c r="U817" s="166"/>
      <c r="V817" s="166"/>
      <c r="W817" s="166"/>
    </row>
    <row r="818" ht="15.75" customHeight="1">
      <c r="P818" s="165"/>
      <c r="Q818" s="166"/>
      <c r="R818" s="166"/>
      <c r="S818" s="166"/>
      <c r="T818" s="166"/>
      <c r="U818" s="166"/>
      <c r="V818" s="166"/>
      <c r="W818" s="166"/>
    </row>
    <row r="819" ht="15.75" customHeight="1">
      <c r="P819" s="165"/>
      <c r="Q819" s="166"/>
      <c r="R819" s="166"/>
      <c r="S819" s="166"/>
      <c r="T819" s="166"/>
      <c r="U819" s="166"/>
      <c r="V819" s="166"/>
      <c r="W819" s="166"/>
    </row>
    <row r="820" ht="15.75" customHeight="1">
      <c r="P820" s="165"/>
      <c r="Q820" s="166"/>
      <c r="R820" s="166"/>
      <c r="S820" s="166"/>
      <c r="T820" s="166"/>
      <c r="U820" s="166"/>
      <c r="V820" s="166"/>
      <c r="W820" s="166"/>
    </row>
    <row r="821" ht="15.75" customHeight="1">
      <c r="P821" s="165"/>
      <c r="Q821" s="166"/>
      <c r="R821" s="166"/>
      <c r="S821" s="166"/>
      <c r="T821" s="166"/>
      <c r="U821" s="166"/>
      <c r="V821" s="166"/>
      <c r="W821" s="166"/>
    </row>
    <row r="822" ht="15.75" customHeight="1">
      <c r="P822" s="165"/>
      <c r="Q822" s="166"/>
      <c r="R822" s="166"/>
      <c r="S822" s="166"/>
      <c r="T822" s="166"/>
      <c r="U822" s="166"/>
      <c r="V822" s="166"/>
      <c r="W822" s="166"/>
    </row>
    <row r="823" ht="15.75" customHeight="1">
      <c r="P823" s="165"/>
      <c r="Q823" s="166"/>
      <c r="R823" s="166"/>
      <c r="S823" s="166"/>
      <c r="T823" s="166"/>
      <c r="U823" s="166"/>
      <c r="V823" s="166"/>
      <c r="W823" s="166"/>
    </row>
    <row r="824" ht="15.75" customHeight="1">
      <c r="P824" s="165"/>
      <c r="Q824" s="166"/>
      <c r="R824" s="166"/>
      <c r="S824" s="166"/>
      <c r="T824" s="166"/>
      <c r="U824" s="166"/>
      <c r="V824" s="166"/>
      <c r="W824" s="166"/>
    </row>
    <row r="825" ht="15.75" customHeight="1">
      <c r="P825" s="165"/>
      <c r="Q825" s="166"/>
      <c r="R825" s="166"/>
      <c r="S825" s="166"/>
      <c r="T825" s="166"/>
      <c r="U825" s="166"/>
      <c r="V825" s="166"/>
      <c r="W825" s="166"/>
    </row>
    <row r="826" ht="15.75" customHeight="1">
      <c r="P826" s="165"/>
      <c r="Q826" s="166"/>
      <c r="R826" s="166"/>
      <c r="S826" s="166"/>
      <c r="T826" s="166"/>
      <c r="U826" s="166"/>
      <c r="V826" s="166"/>
      <c r="W826" s="166"/>
    </row>
    <row r="827" ht="15.75" customHeight="1">
      <c r="P827" s="165"/>
      <c r="Q827" s="166"/>
      <c r="R827" s="166"/>
      <c r="S827" s="166"/>
      <c r="T827" s="166"/>
      <c r="U827" s="166"/>
      <c r="V827" s="166"/>
      <c r="W827" s="166"/>
    </row>
    <row r="828" ht="15.75" customHeight="1">
      <c r="P828" s="165"/>
      <c r="Q828" s="166"/>
      <c r="R828" s="166"/>
      <c r="S828" s="166"/>
      <c r="T828" s="166"/>
      <c r="U828" s="166"/>
      <c r="V828" s="166"/>
      <c r="W828" s="166"/>
    </row>
    <row r="829" ht="15.75" customHeight="1">
      <c r="P829" s="165"/>
      <c r="Q829" s="166"/>
      <c r="R829" s="166"/>
      <c r="S829" s="166"/>
      <c r="T829" s="166"/>
      <c r="U829" s="166"/>
      <c r="V829" s="166"/>
      <c r="W829" s="166"/>
    </row>
    <row r="830" ht="15.75" customHeight="1">
      <c r="P830" s="165"/>
      <c r="Q830" s="166"/>
      <c r="R830" s="166"/>
      <c r="S830" s="166"/>
      <c r="T830" s="166"/>
      <c r="U830" s="166"/>
      <c r="V830" s="166"/>
      <c r="W830" s="166"/>
    </row>
    <row r="831" ht="15.75" customHeight="1">
      <c r="P831" s="165"/>
      <c r="Q831" s="166"/>
      <c r="R831" s="166"/>
      <c r="S831" s="166"/>
      <c r="T831" s="166"/>
      <c r="U831" s="166"/>
      <c r="V831" s="166"/>
      <c r="W831" s="166"/>
    </row>
    <row r="832" ht="15.75" customHeight="1">
      <c r="P832" s="165"/>
      <c r="Q832" s="166"/>
      <c r="R832" s="166"/>
      <c r="S832" s="166"/>
      <c r="T832" s="166"/>
      <c r="U832" s="166"/>
      <c r="V832" s="166"/>
      <c r="W832" s="166"/>
    </row>
    <row r="833" ht="15.75" customHeight="1">
      <c r="P833" s="165"/>
      <c r="Q833" s="166"/>
      <c r="R833" s="166"/>
      <c r="S833" s="166"/>
      <c r="T833" s="166"/>
      <c r="U833" s="166"/>
      <c r="V833" s="166"/>
      <c r="W833" s="166"/>
    </row>
    <row r="834" ht="15.75" customHeight="1">
      <c r="P834" s="165"/>
      <c r="Q834" s="166"/>
      <c r="R834" s="166"/>
      <c r="S834" s="166"/>
      <c r="T834" s="166"/>
      <c r="U834" s="166"/>
      <c r="V834" s="166"/>
      <c r="W834" s="166"/>
    </row>
    <row r="835" ht="15.75" customHeight="1">
      <c r="P835" s="165"/>
      <c r="Q835" s="166"/>
      <c r="R835" s="166"/>
      <c r="S835" s="166"/>
      <c r="T835" s="166"/>
      <c r="U835" s="166"/>
      <c r="V835" s="166"/>
      <c r="W835" s="166"/>
    </row>
    <row r="836" ht="15.75" customHeight="1">
      <c r="P836" s="165"/>
      <c r="Q836" s="166"/>
      <c r="R836" s="166"/>
      <c r="S836" s="166"/>
      <c r="T836" s="166"/>
      <c r="U836" s="166"/>
      <c r="V836" s="166"/>
      <c r="W836" s="166"/>
    </row>
    <row r="837" ht="15.75" customHeight="1">
      <c r="P837" s="165"/>
      <c r="Q837" s="166"/>
      <c r="R837" s="166"/>
      <c r="S837" s="166"/>
      <c r="T837" s="166"/>
      <c r="U837" s="166"/>
      <c r="V837" s="166"/>
      <c r="W837" s="166"/>
    </row>
    <row r="838" ht="15.75" customHeight="1">
      <c r="P838" s="165"/>
      <c r="Q838" s="166"/>
      <c r="R838" s="166"/>
      <c r="S838" s="166"/>
      <c r="T838" s="166"/>
      <c r="U838" s="166"/>
      <c r="V838" s="166"/>
      <c r="W838" s="166"/>
    </row>
    <row r="839" ht="15.75" customHeight="1">
      <c r="P839" s="165"/>
      <c r="Q839" s="166"/>
      <c r="R839" s="166"/>
      <c r="S839" s="166"/>
      <c r="T839" s="166"/>
      <c r="U839" s="166"/>
      <c r="V839" s="166"/>
      <c r="W839" s="166"/>
    </row>
    <row r="840" ht="15.75" customHeight="1">
      <c r="P840" s="165"/>
      <c r="Q840" s="166"/>
      <c r="R840" s="166"/>
      <c r="S840" s="166"/>
      <c r="T840" s="166"/>
      <c r="U840" s="166"/>
      <c r="V840" s="166"/>
      <c r="W840" s="166"/>
    </row>
    <row r="841" ht="15.75" customHeight="1">
      <c r="P841" s="165"/>
      <c r="Q841" s="166"/>
      <c r="R841" s="166"/>
      <c r="S841" s="166"/>
      <c r="T841" s="166"/>
      <c r="U841" s="166"/>
      <c r="V841" s="166"/>
      <c r="W841" s="166"/>
    </row>
    <row r="842" ht="15.75" customHeight="1">
      <c r="P842" s="165"/>
      <c r="Q842" s="166"/>
      <c r="R842" s="166"/>
      <c r="S842" s="166"/>
      <c r="T842" s="166"/>
      <c r="U842" s="166"/>
      <c r="V842" s="166"/>
      <c r="W842" s="166"/>
    </row>
    <row r="843" ht="15.75" customHeight="1">
      <c r="P843" s="165"/>
      <c r="Q843" s="166"/>
      <c r="R843" s="166"/>
      <c r="S843" s="166"/>
      <c r="T843" s="166"/>
      <c r="U843" s="166"/>
      <c r="V843" s="166"/>
      <c r="W843" s="166"/>
    </row>
    <row r="844" ht="15.75" customHeight="1">
      <c r="P844" s="165"/>
      <c r="Q844" s="166"/>
      <c r="R844" s="166"/>
      <c r="S844" s="166"/>
      <c r="T844" s="166"/>
      <c r="U844" s="166"/>
      <c r="V844" s="166"/>
      <c r="W844" s="166"/>
    </row>
    <row r="845" ht="15.75" customHeight="1">
      <c r="P845" s="165"/>
      <c r="Q845" s="166"/>
      <c r="R845" s="166"/>
      <c r="S845" s="166"/>
      <c r="T845" s="166"/>
      <c r="U845" s="166"/>
      <c r="V845" s="166"/>
      <c r="W845" s="166"/>
    </row>
    <row r="846" ht="15.75" customHeight="1">
      <c r="P846" s="165"/>
      <c r="Q846" s="166"/>
      <c r="R846" s="166"/>
      <c r="S846" s="166"/>
      <c r="T846" s="166"/>
      <c r="U846" s="166"/>
      <c r="V846" s="166"/>
      <c r="W846" s="166"/>
    </row>
    <row r="847" ht="15.75" customHeight="1">
      <c r="P847" s="165"/>
      <c r="Q847" s="166"/>
      <c r="R847" s="166"/>
      <c r="S847" s="166"/>
      <c r="T847" s="166"/>
      <c r="U847" s="166"/>
      <c r="V847" s="166"/>
      <c r="W847" s="166"/>
    </row>
    <row r="848" ht="15.75" customHeight="1">
      <c r="P848" s="165"/>
      <c r="Q848" s="166"/>
      <c r="R848" s="166"/>
      <c r="S848" s="166"/>
      <c r="T848" s="166"/>
      <c r="U848" s="166"/>
      <c r="V848" s="166"/>
      <c r="W848" s="166"/>
    </row>
    <row r="849" ht="15.75" customHeight="1">
      <c r="P849" s="165"/>
      <c r="Q849" s="166"/>
      <c r="R849" s="166"/>
      <c r="S849" s="166"/>
      <c r="T849" s="166"/>
      <c r="U849" s="166"/>
      <c r="V849" s="166"/>
      <c r="W849" s="166"/>
    </row>
    <row r="850" ht="15.75" customHeight="1">
      <c r="P850" s="165"/>
      <c r="Q850" s="166"/>
      <c r="R850" s="166"/>
      <c r="S850" s="166"/>
      <c r="T850" s="166"/>
      <c r="U850" s="166"/>
      <c r="V850" s="166"/>
      <c r="W850" s="166"/>
    </row>
    <row r="851" ht="15.75" customHeight="1">
      <c r="P851" s="165"/>
      <c r="Q851" s="166"/>
      <c r="R851" s="166"/>
      <c r="S851" s="166"/>
      <c r="T851" s="166"/>
      <c r="U851" s="166"/>
      <c r="V851" s="166"/>
      <c r="W851" s="166"/>
    </row>
    <row r="852" ht="15.75" customHeight="1">
      <c r="P852" s="165"/>
      <c r="Q852" s="166"/>
      <c r="R852" s="166"/>
      <c r="S852" s="166"/>
      <c r="T852" s="166"/>
      <c r="U852" s="166"/>
      <c r="V852" s="166"/>
      <c r="W852" s="166"/>
    </row>
    <row r="853" ht="15.75" customHeight="1">
      <c r="P853" s="165"/>
      <c r="Q853" s="166"/>
      <c r="R853" s="166"/>
      <c r="S853" s="166"/>
      <c r="T853" s="166"/>
      <c r="U853" s="166"/>
      <c r="V853" s="166"/>
      <c r="W853" s="166"/>
    </row>
    <row r="854" ht="15.75" customHeight="1">
      <c r="P854" s="165"/>
      <c r="Q854" s="166"/>
      <c r="R854" s="166"/>
      <c r="S854" s="166"/>
      <c r="T854" s="166"/>
      <c r="U854" s="166"/>
      <c r="V854" s="166"/>
      <c r="W854" s="166"/>
    </row>
    <row r="855" ht="15.75" customHeight="1">
      <c r="P855" s="165"/>
      <c r="Q855" s="166"/>
      <c r="R855" s="166"/>
      <c r="S855" s="166"/>
      <c r="T855" s="166"/>
      <c r="U855" s="166"/>
      <c r="V855" s="166"/>
      <c r="W855" s="166"/>
    </row>
    <row r="856" ht="15.75" customHeight="1">
      <c r="P856" s="165"/>
      <c r="Q856" s="166"/>
      <c r="R856" s="166"/>
      <c r="S856" s="166"/>
      <c r="T856" s="166"/>
      <c r="U856" s="166"/>
      <c r="V856" s="166"/>
      <c r="W856" s="166"/>
    </row>
    <row r="857" ht="15.75" customHeight="1">
      <c r="P857" s="165"/>
      <c r="Q857" s="166"/>
      <c r="R857" s="166"/>
      <c r="S857" s="166"/>
      <c r="T857" s="166"/>
      <c r="U857" s="166"/>
      <c r="V857" s="166"/>
      <c r="W857" s="166"/>
    </row>
    <row r="858" ht="15.75" customHeight="1">
      <c r="P858" s="165"/>
      <c r="Q858" s="166"/>
      <c r="R858" s="166"/>
      <c r="S858" s="166"/>
      <c r="T858" s="166"/>
      <c r="U858" s="166"/>
      <c r="V858" s="166"/>
      <c r="W858" s="166"/>
    </row>
    <row r="859" ht="15.75" customHeight="1">
      <c r="P859" s="165"/>
      <c r="Q859" s="166"/>
      <c r="R859" s="166"/>
      <c r="S859" s="166"/>
      <c r="T859" s="166"/>
      <c r="U859" s="166"/>
      <c r="V859" s="166"/>
      <c r="W859" s="166"/>
    </row>
    <row r="860" ht="15.75" customHeight="1">
      <c r="P860" s="165"/>
      <c r="Q860" s="166"/>
      <c r="R860" s="166"/>
      <c r="S860" s="166"/>
      <c r="T860" s="166"/>
      <c r="U860" s="166"/>
      <c r="V860" s="166"/>
      <c r="W860" s="166"/>
    </row>
    <row r="861" ht="15.75" customHeight="1">
      <c r="P861" s="165"/>
      <c r="Q861" s="166"/>
      <c r="R861" s="166"/>
      <c r="S861" s="166"/>
      <c r="T861" s="166"/>
      <c r="U861" s="166"/>
      <c r="V861" s="166"/>
      <c r="W861" s="166"/>
    </row>
    <row r="862" ht="15.75" customHeight="1">
      <c r="P862" s="165"/>
      <c r="Q862" s="166"/>
      <c r="R862" s="166"/>
      <c r="S862" s="166"/>
      <c r="T862" s="166"/>
      <c r="U862" s="166"/>
      <c r="V862" s="166"/>
      <c r="W862" s="166"/>
    </row>
    <row r="863" ht="15.75" customHeight="1">
      <c r="P863" s="165"/>
      <c r="Q863" s="166"/>
      <c r="R863" s="166"/>
      <c r="S863" s="166"/>
      <c r="T863" s="166"/>
      <c r="U863" s="166"/>
      <c r="V863" s="166"/>
      <c r="W863" s="166"/>
    </row>
    <row r="864" ht="15.75" customHeight="1">
      <c r="P864" s="165"/>
      <c r="Q864" s="166"/>
      <c r="R864" s="166"/>
      <c r="S864" s="166"/>
      <c r="T864" s="166"/>
      <c r="U864" s="166"/>
      <c r="V864" s="166"/>
      <c r="W864" s="166"/>
    </row>
    <row r="865" ht="15.75" customHeight="1">
      <c r="P865" s="165"/>
      <c r="Q865" s="166"/>
      <c r="R865" s="166"/>
      <c r="S865" s="166"/>
      <c r="T865" s="166"/>
      <c r="U865" s="166"/>
      <c r="V865" s="166"/>
      <c r="W865" s="166"/>
    </row>
    <row r="866" ht="15.75" customHeight="1">
      <c r="P866" s="165"/>
      <c r="Q866" s="166"/>
      <c r="R866" s="166"/>
      <c r="S866" s="166"/>
      <c r="T866" s="166"/>
      <c r="U866" s="166"/>
      <c r="V866" s="166"/>
      <c r="W866" s="166"/>
    </row>
    <row r="867" ht="15.75" customHeight="1">
      <c r="P867" s="165"/>
      <c r="Q867" s="166"/>
      <c r="R867" s="166"/>
      <c r="S867" s="166"/>
      <c r="T867" s="166"/>
      <c r="U867" s="166"/>
      <c r="V867" s="166"/>
      <c r="W867" s="166"/>
    </row>
    <row r="868" ht="15.75" customHeight="1">
      <c r="P868" s="165"/>
      <c r="Q868" s="166"/>
      <c r="R868" s="166"/>
      <c r="S868" s="166"/>
      <c r="T868" s="166"/>
      <c r="U868" s="166"/>
      <c r="V868" s="166"/>
      <c r="W868" s="166"/>
    </row>
    <row r="869" ht="15.75" customHeight="1">
      <c r="P869" s="165"/>
      <c r="Q869" s="166"/>
      <c r="R869" s="166"/>
      <c r="S869" s="166"/>
      <c r="T869" s="166"/>
      <c r="U869" s="166"/>
      <c r="V869" s="166"/>
      <c r="W869" s="166"/>
    </row>
    <row r="870" ht="15.75" customHeight="1">
      <c r="P870" s="165"/>
      <c r="Q870" s="166"/>
      <c r="R870" s="166"/>
      <c r="S870" s="166"/>
      <c r="T870" s="166"/>
      <c r="U870" s="166"/>
      <c r="V870" s="166"/>
      <c r="W870" s="166"/>
    </row>
    <row r="871" ht="15.75" customHeight="1">
      <c r="P871" s="165"/>
      <c r="Q871" s="166"/>
      <c r="R871" s="166"/>
      <c r="S871" s="166"/>
      <c r="T871" s="166"/>
      <c r="U871" s="166"/>
      <c r="V871" s="166"/>
      <c r="W871" s="166"/>
    </row>
    <row r="872" ht="15.75" customHeight="1">
      <c r="P872" s="165"/>
      <c r="Q872" s="166"/>
      <c r="R872" s="166"/>
      <c r="S872" s="166"/>
      <c r="T872" s="166"/>
      <c r="U872" s="166"/>
      <c r="V872" s="166"/>
      <c r="W872" s="166"/>
    </row>
    <row r="873" ht="15.75" customHeight="1">
      <c r="P873" s="165"/>
      <c r="Q873" s="166"/>
      <c r="R873" s="166"/>
      <c r="S873" s="166"/>
      <c r="T873" s="166"/>
      <c r="U873" s="166"/>
      <c r="V873" s="166"/>
      <c r="W873" s="166"/>
    </row>
    <row r="874" ht="15.75" customHeight="1">
      <c r="P874" s="165"/>
      <c r="Q874" s="166"/>
      <c r="R874" s="166"/>
      <c r="S874" s="166"/>
      <c r="T874" s="166"/>
      <c r="U874" s="166"/>
      <c r="V874" s="166"/>
      <c r="W874" s="166"/>
    </row>
    <row r="875" ht="15.75" customHeight="1">
      <c r="P875" s="165"/>
      <c r="Q875" s="166"/>
      <c r="R875" s="166"/>
      <c r="S875" s="166"/>
      <c r="T875" s="166"/>
      <c r="U875" s="166"/>
      <c r="V875" s="166"/>
      <c r="W875" s="166"/>
    </row>
    <row r="876" ht="15.75" customHeight="1">
      <c r="P876" s="165"/>
      <c r="Q876" s="166"/>
      <c r="R876" s="166"/>
      <c r="S876" s="166"/>
      <c r="T876" s="166"/>
      <c r="U876" s="166"/>
      <c r="V876" s="166"/>
      <c r="W876" s="166"/>
    </row>
    <row r="877" ht="15.75" customHeight="1">
      <c r="P877" s="165"/>
      <c r="Q877" s="166"/>
      <c r="R877" s="166"/>
      <c r="S877" s="166"/>
      <c r="T877" s="166"/>
      <c r="U877" s="166"/>
      <c r="V877" s="166"/>
      <c r="W877" s="166"/>
    </row>
    <row r="878" ht="15.75" customHeight="1">
      <c r="P878" s="165"/>
      <c r="Q878" s="166"/>
      <c r="R878" s="166"/>
      <c r="S878" s="166"/>
      <c r="T878" s="166"/>
      <c r="U878" s="166"/>
      <c r="V878" s="166"/>
      <c r="W878" s="166"/>
    </row>
    <row r="879" ht="15.75" customHeight="1">
      <c r="P879" s="165"/>
      <c r="Q879" s="166"/>
      <c r="R879" s="166"/>
      <c r="S879" s="166"/>
      <c r="T879" s="166"/>
      <c r="U879" s="166"/>
      <c r="V879" s="166"/>
      <c r="W879" s="166"/>
    </row>
    <row r="880" ht="15.75" customHeight="1">
      <c r="P880" s="165"/>
      <c r="Q880" s="166"/>
      <c r="R880" s="166"/>
      <c r="S880" s="166"/>
      <c r="T880" s="166"/>
      <c r="U880" s="166"/>
      <c r="V880" s="166"/>
      <c r="W880" s="166"/>
    </row>
    <row r="881" ht="15.75" customHeight="1">
      <c r="P881" s="165"/>
      <c r="Q881" s="166"/>
      <c r="R881" s="166"/>
      <c r="S881" s="166"/>
      <c r="T881" s="166"/>
      <c r="U881" s="166"/>
      <c r="V881" s="166"/>
      <c r="W881" s="166"/>
    </row>
    <row r="882" ht="15.75" customHeight="1">
      <c r="P882" s="165"/>
      <c r="Q882" s="166"/>
      <c r="R882" s="166"/>
      <c r="S882" s="166"/>
      <c r="T882" s="166"/>
      <c r="U882" s="166"/>
      <c r="V882" s="166"/>
      <c r="W882" s="166"/>
    </row>
    <row r="883" ht="15.75" customHeight="1">
      <c r="P883" s="165"/>
      <c r="Q883" s="166"/>
      <c r="R883" s="166"/>
      <c r="S883" s="166"/>
      <c r="T883" s="166"/>
      <c r="U883" s="166"/>
      <c r="V883" s="166"/>
      <c r="W883" s="166"/>
    </row>
    <row r="884" ht="15.75" customHeight="1">
      <c r="P884" s="165"/>
      <c r="Q884" s="166"/>
      <c r="R884" s="166"/>
      <c r="S884" s="166"/>
      <c r="T884" s="166"/>
      <c r="U884" s="166"/>
      <c r="V884" s="166"/>
      <c r="W884" s="166"/>
    </row>
    <row r="885" ht="15.75" customHeight="1">
      <c r="P885" s="165"/>
      <c r="Q885" s="166"/>
      <c r="R885" s="166"/>
      <c r="S885" s="166"/>
      <c r="T885" s="166"/>
      <c r="U885" s="166"/>
      <c r="V885" s="166"/>
      <c r="W885" s="166"/>
    </row>
    <row r="886" ht="15.75" customHeight="1">
      <c r="P886" s="165"/>
      <c r="Q886" s="166"/>
      <c r="R886" s="166"/>
      <c r="S886" s="166"/>
      <c r="T886" s="166"/>
      <c r="U886" s="166"/>
      <c r="V886" s="166"/>
      <c r="W886" s="166"/>
    </row>
    <row r="887" ht="15.75" customHeight="1">
      <c r="P887" s="165"/>
      <c r="Q887" s="166"/>
      <c r="R887" s="166"/>
      <c r="S887" s="166"/>
      <c r="T887" s="166"/>
      <c r="U887" s="166"/>
      <c r="V887" s="166"/>
      <c r="W887" s="166"/>
    </row>
    <row r="888" ht="15.75" customHeight="1">
      <c r="P888" s="165"/>
      <c r="Q888" s="166"/>
      <c r="R888" s="166"/>
      <c r="S888" s="166"/>
      <c r="T888" s="166"/>
      <c r="U888" s="166"/>
      <c r="V888" s="166"/>
      <c r="W888" s="166"/>
    </row>
    <row r="889" ht="15.75" customHeight="1">
      <c r="P889" s="165"/>
      <c r="Q889" s="166"/>
      <c r="R889" s="166"/>
      <c r="S889" s="166"/>
      <c r="T889" s="166"/>
      <c r="U889" s="166"/>
      <c r="V889" s="166"/>
      <c r="W889" s="166"/>
    </row>
    <row r="890" ht="15.75" customHeight="1">
      <c r="P890" s="165"/>
      <c r="Q890" s="166"/>
      <c r="R890" s="166"/>
      <c r="S890" s="166"/>
      <c r="T890" s="166"/>
      <c r="U890" s="166"/>
      <c r="V890" s="166"/>
      <c r="W890" s="166"/>
    </row>
    <row r="891" ht="15.75" customHeight="1">
      <c r="P891" s="165"/>
      <c r="Q891" s="166"/>
      <c r="R891" s="166"/>
      <c r="S891" s="166"/>
      <c r="T891" s="166"/>
      <c r="U891" s="166"/>
      <c r="V891" s="166"/>
      <c r="W891" s="166"/>
    </row>
    <row r="892" ht="15.75" customHeight="1">
      <c r="P892" s="165"/>
      <c r="Q892" s="166"/>
      <c r="R892" s="166"/>
      <c r="S892" s="166"/>
      <c r="T892" s="166"/>
      <c r="U892" s="166"/>
      <c r="V892" s="166"/>
      <c r="W892" s="166"/>
    </row>
    <row r="893" ht="15.75" customHeight="1">
      <c r="P893" s="165"/>
      <c r="Q893" s="166"/>
      <c r="R893" s="166"/>
      <c r="S893" s="166"/>
      <c r="T893" s="166"/>
      <c r="U893" s="166"/>
      <c r="V893" s="166"/>
      <c r="W893" s="166"/>
    </row>
    <row r="894" ht="15.75" customHeight="1">
      <c r="P894" s="165"/>
      <c r="Q894" s="166"/>
      <c r="R894" s="166"/>
      <c r="S894" s="166"/>
      <c r="T894" s="166"/>
      <c r="U894" s="166"/>
      <c r="V894" s="166"/>
      <c r="W894" s="166"/>
    </row>
    <row r="895" ht="15.75" customHeight="1">
      <c r="P895" s="165"/>
      <c r="Q895" s="166"/>
      <c r="R895" s="166"/>
      <c r="S895" s="166"/>
      <c r="T895" s="166"/>
      <c r="U895" s="166"/>
      <c r="V895" s="166"/>
      <c r="W895" s="166"/>
    </row>
    <row r="896" ht="15.75" customHeight="1">
      <c r="P896" s="165"/>
      <c r="Q896" s="166"/>
      <c r="R896" s="166"/>
      <c r="S896" s="166"/>
      <c r="T896" s="166"/>
      <c r="U896" s="166"/>
      <c r="V896" s="166"/>
      <c r="W896" s="166"/>
    </row>
    <row r="897" ht="15.75" customHeight="1">
      <c r="P897" s="165"/>
      <c r="Q897" s="166"/>
      <c r="R897" s="166"/>
      <c r="S897" s="166"/>
      <c r="T897" s="166"/>
      <c r="U897" s="166"/>
      <c r="V897" s="166"/>
      <c r="W897" s="166"/>
    </row>
    <row r="898" ht="15.75" customHeight="1">
      <c r="P898" s="165"/>
      <c r="Q898" s="166"/>
      <c r="R898" s="166"/>
      <c r="S898" s="166"/>
      <c r="T898" s="166"/>
      <c r="U898" s="166"/>
      <c r="V898" s="166"/>
      <c r="W898" s="166"/>
    </row>
    <row r="899" ht="15.75" customHeight="1">
      <c r="P899" s="165"/>
      <c r="Q899" s="166"/>
      <c r="R899" s="166"/>
      <c r="S899" s="166"/>
      <c r="T899" s="166"/>
      <c r="U899" s="166"/>
      <c r="V899" s="166"/>
      <c r="W899" s="166"/>
    </row>
    <row r="900" ht="15.75" customHeight="1">
      <c r="P900" s="165"/>
      <c r="Q900" s="166"/>
      <c r="R900" s="166"/>
      <c r="S900" s="166"/>
      <c r="T900" s="166"/>
      <c r="U900" s="166"/>
      <c r="V900" s="166"/>
      <c r="W900" s="166"/>
    </row>
    <row r="901" ht="15.75" customHeight="1">
      <c r="P901" s="165"/>
      <c r="Q901" s="166"/>
      <c r="R901" s="166"/>
      <c r="S901" s="166"/>
      <c r="T901" s="166"/>
      <c r="U901" s="166"/>
      <c r="V901" s="166"/>
      <c r="W901" s="166"/>
    </row>
    <row r="902" ht="15.75" customHeight="1">
      <c r="P902" s="165"/>
      <c r="Q902" s="166"/>
      <c r="R902" s="166"/>
      <c r="S902" s="166"/>
      <c r="T902" s="166"/>
      <c r="U902" s="166"/>
      <c r="V902" s="166"/>
      <c r="W902" s="166"/>
    </row>
    <row r="903" ht="15.75" customHeight="1">
      <c r="P903" s="165"/>
      <c r="Q903" s="166"/>
      <c r="R903" s="166"/>
      <c r="S903" s="166"/>
      <c r="T903" s="166"/>
      <c r="U903" s="166"/>
      <c r="V903" s="166"/>
      <c r="W903" s="166"/>
    </row>
    <row r="904" ht="15.75" customHeight="1">
      <c r="P904" s="165"/>
      <c r="Q904" s="166"/>
      <c r="R904" s="166"/>
      <c r="S904" s="166"/>
      <c r="T904" s="166"/>
      <c r="U904" s="166"/>
      <c r="V904" s="166"/>
      <c r="W904" s="166"/>
    </row>
    <row r="905" ht="15.75" customHeight="1">
      <c r="P905" s="165"/>
      <c r="Q905" s="166"/>
      <c r="R905" s="166"/>
      <c r="S905" s="166"/>
      <c r="T905" s="166"/>
      <c r="U905" s="166"/>
      <c r="V905" s="166"/>
      <c r="W905" s="166"/>
    </row>
    <row r="906" ht="15.75" customHeight="1">
      <c r="P906" s="165"/>
      <c r="Q906" s="166"/>
      <c r="R906" s="166"/>
      <c r="S906" s="166"/>
      <c r="T906" s="166"/>
      <c r="U906" s="166"/>
      <c r="V906" s="166"/>
      <c r="W906" s="166"/>
    </row>
    <row r="907" ht="15.75" customHeight="1">
      <c r="P907" s="165"/>
      <c r="Q907" s="166"/>
      <c r="R907" s="166"/>
      <c r="S907" s="166"/>
      <c r="T907" s="166"/>
      <c r="U907" s="166"/>
      <c r="V907" s="166"/>
      <c r="W907" s="166"/>
    </row>
    <row r="908" ht="15.75" customHeight="1">
      <c r="P908" s="165"/>
      <c r="Q908" s="166"/>
      <c r="R908" s="166"/>
      <c r="S908" s="166"/>
      <c r="T908" s="166"/>
      <c r="U908" s="166"/>
      <c r="V908" s="166"/>
      <c r="W908" s="166"/>
    </row>
    <row r="909" ht="15.75" customHeight="1">
      <c r="P909" s="165"/>
      <c r="Q909" s="166"/>
      <c r="R909" s="166"/>
      <c r="S909" s="166"/>
      <c r="T909" s="166"/>
      <c r="U909" s="166"/>
      <c r="V909" s="166"/>
      <c r="W909" s="166"/>
    </row>
    <row r="910" ht="15.75" customHeight="1">
      <c r="P910" s="165"/>
      <c r="Q910" s="166"/>
      <c r="R910" s="166"/>
      <c r="S910" s="166"/>
      <c r="T910" s="166"/>
      <c r="U910" s="166"/>
      <c r="V910" s="166"/>
      <c r="W910" s="166"/>
    </row>
    <row r="911" ht="15.75" customHeight="1">
      <c r="P911" s="165"/>
      <c r="Q911" s="166"/>
      <c r="R911" s="166"/>
      <c r="S911" s="166"/>
      <c r="T911" s="166"/>
      <c r="U911" s="166"/>
      <c r="V911" s="166"/>
      <c r="W911" s="166"/>
    </row>
    <row r="912" ht="15.75" customHeight="1">
      <c r="P912" s="165"/>
      <c r="Q912" s="166"/>
      <c r="R912" s="166"/>
      <c r="S912" s="166"/>
      <c r="T912" s="166"/>
      <c r="U912" s="166"/>
      <c r="V912" s="166"/>
      <c r="W912" s="166"/>
    </row>
    <row r="913" ht="15.75" customHeight="1">
      <c r="P913" s="165"/>
      <c r="Q913" s="166"/>
      <c r="R913" s="166"/>
      <c r="S913" s="166"/>
      <c r="T913" s="166"/>
      <c r="U913" s="166"/>
      <c r="V913" s="166"/>
      <c r="W913" s="166"/>
    </row>
    <row r="914" ht="15.75" customHeight="1">
      <c r="P914" s="165"/>
      <c r="Q914" s="166"/>
      <c r="R914" s="166"/>
      <c r="S914" s="166"/>
      <c r="T914" s="166"/>
      <c r="U914" s="166"/>
      <c r="V914" s="166"/>
      <c r="W914" s="166"/>
    </row>
    <row r="915" ht="15.75" customHeight="1">
      <c r="P915" s="165"/>
      <c r="Q915" s="166"/>
      <c r="R915" s="166"/>
      <c r="S915" s="166"/>
      <c r="T915" s="166"/>
      <c r="U915" s="166"/>
      <c r="V915" s="166"/>
      <c r="W915" s="166"/>
    </row>
    <row r="916" ht="15.75" customHeight="1">
      <c r="P916" s="165"/>
      <c r="Q916" s="166"/>
      <c r="R916" s="166"/>
      <c r="S916" s="166"/>
      <c r="T916" s="166"/>
      <c r="U916" s="166"/>
      <c r="V916" s="166"/>
      <c r="W916" s="166"/>
    </row>
    <row r="917" ht="15.75" customHeight="1">
      <c r="P917" s="165"/>
      <c r="Q917" s="166"/>
      <c r="R917" s="166"/>
      <c r="S917" s="166"/>
      <c r="T917" s="166"/>
      <c r="U917" s="166"/>
      <c r="V917" s="166"/>
      <c r="W917" s="166"/>
    </row>
    <row r="918" ht="15.75" customHeight="1">
      <c r="P918" s="165"/>
      <c r="Q918" s="166"/>
      <c r="R918" s="166"/>
      <c r="S918" s="166"/>
      <c r="T918" s="166"/>
      <c r="U918" s="166"/>
      <c r="V918" s="166"/>
      <c r="W918" s="166"/>
    </row>
    <row r="919" ht="15.75" customHeight="1">
      <c r="P919" s="165"/>
      <c r="Q919" s="166"/>
      <c r="R919" s="166"/>
      <c r="S919" s="166"/>
      <c r="T919" s="166"/>
      <c r="U919" s="166"/>
      <c r="V919" s="166"/>
      <c r="W919" s="166"/>
    </row>
    <row r="920" ht="15.75" customHeight="1">
      <c r="P920" s="165"/>
      <c r="Q920" s="166"/>
      <c r="R920" s="166"/>
      <c r="S920" s="166"/>
      <c r="T920" s="166"/>
      <c r="U920" s="166"/>
      <c r="V920" s="166"/>
      <c r="W920" s="166"/>
    </row>
    <row r="921" ht="15.75" customHeight="1">
      <c r="P921" s="165"/>
      <c r="Q921" s="166"/>
      <c r="R921" s="166"/>
      <c r="S921" s="166"/>
      <c r="T921" s="166"/>
      <c r="U921" s="166"/>
      <c r="V921" s="166"/>
      <c r="W921" s="166"/>
    </row>
    <row r="922" ht="15.75" customHeight="1">
      <c r="P922" s="165"/>
      <c r="Q922" s="166"/>
      <c r="R922" s="166"/>
      <c r="S922" s="166"/>
      <c r="T922" s="166"/>
      <c r="U922" s="166"/>
      <c r="V922" s="166"/>
      <c r="W922" s="166"/>
    </row>
    <row r="923" ht="15.75" customHeight="1">
      <c r="P923" s="165"/>
      <c r="Q923" s="166"/>
      <c r="R923" s="166"/>
      <c r="S923" s="166"/>
      <c r="T923" s="166"/>
      <c r="U923" s="166"/>
      <c r="V923" s="166"/>
      <c r="W923" s="166"/>
    </row>
    <row r="924" ht="15.75" customHeight="1">
      <c r="P924" s="165"/>
      <c r="Q924" s="166"/>
      <c r="R924" s="166"/>
      <c r="S924" s="166"/>
      <c r="T924" s="166"/>
      <c r="U924" s="166"/>
      <c r="V924" s="166"/>
      <c r="W924" s="166"/>
    </row>
    <row r="925" ht="15.75" customHeight="1">
      <c r="P925" s="165"/>
      <c r="Q925" s="166"/>
      <c r="R925" s="166"/>
      <c r="S925" s="166"/>
      <c r="T925" s="166"/>
      <c r="U925" s="166"/>
      <c r="V925" s="166"/>
      <c r="W925" s="166"/>
    </row>
    <row r="926" ht="15.75" customHeight="1">
      <c r="P926" s="165"/>
      <c r="Q926" s="166"/>
      <c r="R926" s="166"/>
      <c r="S926" s="166"/>
      <c r="T926" s="166"/>
      <c r="U926" s="166"/>
      <c r="V926" s="166"/>
      <c r="W926" s="166"/>
    </row>
    <row r="927" ht="15.75" customHeight="1">
      <c r="P927" s="165"/>
      <c r="Q927" s="166"/>
      <c r="R927" s="166"/>
      <c r="S927" s="166"/>
      <c r="T927" s="166"/>
      <c r="U927" s="166"/>
      <c r="V927" s="166"/>
      <c r="W927" s="166"/>
    </row>
    <row r="928" ht="15.75" customHeight="1">
      <c r="P928" s="165"/>
      <c r="Q928" s="166"/>
      <c r="R928" s="166"/>
      <c r="S928" s="166"/>
      <c r="T928" s="166"/>
      <c r="U928" s="166"/>
      <c r="V928" s="166"/>
      <c r="W928" s="166"/>
    </row>
    <row r="929" ht="15.75" customHeight="1">
      <c r="P929" s="165"/>
      <c r="Q929" s="166"/>
      <c r="R929" s="166"/>
      <c r="S929" s="166"/>
      <c r="T929" s="166"/>
      <c r="U929" s="166"/>
      <c r="V929" s="166"/>
      <c r="W929" s="166"/>
    </row>
    <row r="930" ht="15.75" customHeight="1">
      <c r="P930" s="165"/>
      <c r="Q930" s="166"/>
      <c r="R930" s="166"/>
      <c r="S930" s="166"/>
      <c r="T930" s="166"/>
      <c r="U930" s="166"/>
      <c r="V930" s="166"/>
      <c r="W930" s="166"/>
    </row>
    <row r="931" ht="15.75" customHeight="1">
      <c r="P931" s="165"/>
      <c r="Q931" s="166"/>
      <c r="R931" s="166"/>
      <c r="S931" s="166"/>
      <c r="T931" s="166"/>
      <c r="U931" s="166"/>
      <c r="V931" s="166"/>
      <c r="W931" s="166"/>
    </row>
    <row r="932" ht="15.75" customHeight="1">
      <c r="P932" s="165"/>
      <c r="Q932" s="166"/>
      <c r="R932" s="166"/>
      <c r="S932" s="166"/>
      <c r="T932" s="166"/>
      <c r="U932" s="166"/>
      <c r="V932" s="166"/>
      <c r="W932" s="166"/>
    </row>
    <row r="933" ht="15.75" customHeight="1">
      <c r="P933" s="165"/>
      <c r="Q933" s="166"/>
      <c r="R933" s="166"/>
      <c r="S933" s="166"/>
      <c r="T933" s="166"/>
      <c r="U933" s="166"/>
      <c r="V933" s="166"/>
      <c r="W933" s="166"/>
    </row>
    <row r="934" ht="15.75" customHeight="1">
      <c r="P934" s="165"/>
      <c r="Q934" s="166"/>
      <c r="R934" s="166"/>
      <c r="S934" s="166"/>
      <c r="T934" s="166"/>
      <c r="U934" s="166"/>
      <c r="V934" s="166"/>
      <c r="W934" s="166"/>
    </row>
    <row r="935" ht="15.75" customHeight="1">
      <c r="P935" s="165"/>
      <c r="Q935" s="166"/>
      <c r="R935" s="166"/>
      <c r="S935" s="166"/>
      <c r="T935" s="166"/>
      <c r="U935" s="166"/>
      <c r="V935" s="166"/>
      <c r="W935" s="166"/>
    </row>
    <row r="936" ht="15.75" customHeight="1">
      <c r="P936" s="165"/>
      <c r="Q936" s="166"/>
      <c r="R936" s="166"/>
      <c r="S936" s="166"/>
      <c r="T936" s="166"/>
      <c r="U936" s="166"/>
      <c r="V936" s="166"/>
      <c r="W936" s="166"/>
    </row>
    <row r="937" ht="15.75" customHeight="1">
      <c r="P937" s="165"/>
      <c r="Q937" s="166"/>
      <c r="R937" s="166"/>
      <c r="S937" s="166"/>
      <c r="T937" s="166"/>
      <c r="U937" s="166"/>
      <c r="V937" s="166"/>
      <c r="W937" s="166"/>
    </row>
    <row r="938" ht="15.75" customHeight="1">
      <c r="P938" s="165"/>
      <c r="Q938" s="166"/>
      <c r="R938" s="166"/>
      <c r="S938" s="166"/>
      <c r="T938" s="166"/>
      <c r="U938" s="166"/>
      <c r="V938" s="166"/>
      <c r="W938" s="166"/>
    </row>
    <row r="939" ht="15.75" customHeight="1">
      <c r="P939" s="165"/>
      <c r="Q939" s="166"/>
      <c r="R939" s="166"/>
      <c r="S939" s="166"/>
      <c r="T939" s="166"/>
      <c r="U939" s="166"/>
      <c r="V939" s="166"/>
      <c r="W939" s="166"/>
    </row>
    <row r="940" ht="15.75" customHeight="1">
      <c r="P940" s="165"/>
      <c r="Q940" s="166"/>
      <c r="R940" s="166"/>
      <c r="S940" s="166"/>
      <c r="T940" s="166"/>
      <c r="U940" s="166"/>
      <c r="V940" s="166"/>
      <c r="W940" s="166"/>
    </row>
    <row r="941" ht="15.75" customHeight="1">
      <c r="P941" s="165"/>
      <c r="Q941" s="166"/>
      <c r="R941" s="166"/>
      <c r="S941" s="166"/>
      <c r="T941" s="166"/>
      <c r="U941" s="166"/>
      <c r="V941" s="166"/>
      <c r="W941" s="166"/>
    </row>
    <row r="942" ht="15.75" customHeight="1">
      <c r="P942" s="165"/>
      <c r="Q942" s="166"/>
      <c r="R942" s="166"/>
      <c r="S942" s="166"/>
      <c r="T942" s="166"/>
      <c r="U942" s="166"/>
      <c r="V942" s="166"/>
      <c r="W942" s="166"/>
    </row>
    <row r="943" ht="15.75" customHeight="1">
      <c r="P943" s="165"/>
      <c r="Q943" s="166"/>
      <c r="R943" s="166"/>
      <c r="S943" s="166"/>
      <c r="T943" s="166"/>
      <c r="U943" s="166"/>
      <c r="V943" s="166"/>
      <c r="W943" s="166"/>
    </row>
    <row r="944" ht="15.75" customHeight="1">
      <c r="P944" s="165"/>
      <c r="Q944" s="166"/>
      <c r="R944" s="166"/>
      <c r="S944" s="166"/>
      <c r="T944" s="166"/>
      <c r="U944" s="166"/>
      <c r="V944" s="166"/>
      <c r="W944" s="166"/>
    </row>
    <row r="945" ht="15.75" customHeight="1">
      <c r="P945" s="165"/>
      <c r="Q945" s="166"/>
      <c r="R945" s="166"/>
      <c r="S945" s="166"/>
      <c r="T945" s="166"/>
      <c r="U945" s="166"/>
      <c r="V945" s="166"/>
      <c r="W945" s="166"/>
    </row>
    <row r="946" ht="15.75" customHeight="1">
      <c r="P946" s="165"/>
      <c r="Q946" s="166"/>
      <c r="R946" s="166"/>
      <c r="S946" s="166"/>
      <c r="T946" s="166"/>
      <c r="U946" s="166"/>
      <c r="V946" s="166"/>
      <c r="W946" s="166"/>
    </row>
    <row r="947" ht="15.75" customHeight="1">
      <c r="P947" s="165"/>
      <c r="Q947" s="166"/>
      <c r="R947" s="166"/>
      <c r="S947" s="166"/>
      <c r="T947" s="166"/>
      <c r="U947" s="166"/>
      <c r="V947" s="166"/>
      <c r="W947" s="166"/>
    </row>
    <row r="948" ht="15.75" customHeight="1">
      <c r="P948" s="165"/>
      <c r="Q948" s="166"/>
      <c r="R948" s="166"/>
      <c r="S948" s="166"/>
      <c r="T948" s="166"/>
      <c r="U948" s="166"/>
      <c r="V948" s="166"/>
      <c r="W948" s="166"/>
    </row>
    <row r="949" ht="15.75" customHeight="1">
      <c r="P949" s="165"/>
      <c r="Q949" s="166"/>
      <c r="R949" s="166"/>
      <c r="S949" s="166"/>
      <c r="T949" s="166"/>
      <c r="U949" s="166"/>
      <c r="V949" s="166"/>
      <c r="W949" s="166"/>
    </row>
    <row r="950" ht="15.75" customHeight="1">
      <c r="P950" s="165"/>
      <c r="Q950" s="166"/>
      <c r="R950" s="166"/>
      <c r="S950" s="166"/>
      <c r="T950" s="166"/>
      <c r="U950" s="166"/>
      <c r="V950" s="166"/>
      <c r="W950" s="166"/>
    </row>
    <row r="951" ht="15.75" customHeight="1">
      <c r="P951" s="165"/>
      <c r="Q951" s="166"/>
      <c r="R951" s="166"/>
      <c r="S951" s="166"/>
      <c r="T951" s="166"/>
      <c r="U951" s="166"/>
      <c r="V951" s="166"/>
      <c r="W951" s="166"/>
    </row>
    <row r="952" ht="15.75" customHeight="1">
      <c r="P952" s="165"/>
      <c r="Q952" s="166"/>
      <c r="R952" s="166"/>
      <c r="S952" s="166"/>
      <c r="T952" s="166"/>
      <c r="U952" s="166"/>
      <c r="V952" s="166"/>
      <c r="W952" s="166"/>
    </row>
    <row r="953" ht="15.75" customHeight="1">
      <c r="P953" s="165"/>
      <c r="Q953" s="166"/>
      <c r="R953" s="166"/>
      <c r="S953" s="166"/>
      <c r="T953" s="166"/>
      <c r="U953" s="166"/>
      <c r="V953" s="166"/>
      <c r="W953" s="166"/>
    </row>
    <row r="954" ht="15.75" customHeight="1">
      <c r="P954" s="165"/>
      <c r="Q954" s="166"/>
      <c r="R954" s="166"/>
      <c r="S954" s="166"/>
      <c r="T954" s="166"/>
      <c r="U954" s="166"/>
      <c r="V954" s="166"/>
      <c r="W954" s="166"/>
    </row>
    <row r="955" ht="15.75" customHeight="1">
      <c r="P955" s="165"/>
      <c r="Q955" s="166"/>
      <c r="R955" s="166"/>
      <c r="S955" s="166"/>
      <c r="T955" s="166"/>
      <c r="U955" s="166"/>
      <c r="V955" s="166"/>
      <c r="W955" s="166"/>
    </row>
    <row r="956" ht="15.75" customHeight="1">
      <c r="P956" s="165"/>
      <c r="Q956" s="166"/>
      <c r="R956" s="166"/>
      <c r="S956" s="166"/>
      <c r="T956" s="166"/>
      <c r="U956" s="166"/>
      <c r="V956" s="166"/>
      <c r="W956" s="166"/>
    </row>
    <row r="957" ht="15.75" customHeight="1">
      <c r="P957" s="165"/>
      <c r="Q957" s="166"/>
      <c r="R957" s="166"/>
      <c r="S957" s="166"/>
      <c r="T957" s="166"/>
      <c r="U957" s="166"/>
      <c r="V957" s="166"/>
      <c r="W957" s="166"/>
    </row>
    <row r="958" ht="15.75" customHeight="1">
      <c r="P958" s="165"/>
      <c r="Q958" s="166"/>
      <c r="R958" s="166"/>
      <c r="S958" s="166"/>
      <c r="T958" s="166"/>
      <c r="U958" s="166"/>
      <c r="V958" s="166"/>
      <c r="W958" s="166"/>
    </row>
    <row r="959" ht="15.75" customHeight="1">
      <c r="P959" s="165"/>
      <c r="Q959" s="166"/>
      <c r="R959" s="166"/>
      <c r="S959" s="166"/>
      <c r="T959" s="166"/>
      <c r="U959" s="166"/>
      <c r="V959" s="166"/>
      <c r="W959" s="166"/>
    </row>
    <row r="960" ht="15.75" customHeight="1">
      <c r="P960" s="165"/>
      <c r="Q960" s="166"/>
      <c r="R960" s="166"/>
      <c r="S960" s="166"/>
      <c r="T960" s="166"/>
      <c r="U960" s="166"/>
      <c r="V960" s="166"/>
      <c r="W960" s="166"/>
    </row>
    <row r="961" ht="15.75" customHeight="1">
      <c r="P961" s="165"/>
      <c r="Q961" s="166"/>
      <c r="R961" s="166"/>
      <c r="S961" s="166"/>
      <c r="T961" s="166"/>
      <c r="U961" s="166"/>
      <c r="V961" s="166"/>
      <c r="W961" s="166"/>
    </row>
    <row r="962" ht="15.75" customHeight="1">
      <c r="P962" s="165"/>
      <c r="Q962" s="166"/>
      <c r="R962" s="166"/>
      <c r="S962" s="166"/>
      <c r="T962" s="166"/>
      <c r="U962" s="166"/>
      <c r="V962" s="166"/>
      <c r="W962" s="166"/>
    </row>
    <row r="963" ht="15.75" customHeight="1">
      <c r="P963" s="165"/>
      <c r="Q963" s="166"/>
      <c r="R963" s="166"/>
      <c r="S963" s="166"/>
      <c r="T963" s="166"/>
      <c r="U963" s="166"/>
      <c r="V963" s="166"/>
      <c r="W963" s="166"/>
    </row>
    <row r="964" ht="15.75" customHeight="1">
      <c r="P964" s="165"/>
      <c r="Q964" s="166"/>
      <c r="R964" s="166"/>
      <c r="S964" s="166"/>
      <c r="T964" s="166"/>
      <c r="U964" s="166"/>
      <c r="V964" s="166"/>
      <c r="W964" s="166"/>
    </row>
    <row r="965" ht="15.75" customHeight="1">
      <c r="P965" s="165"/>
      <c r="Q965" s="166"/>
      <c r="R965" s="166"/>
      <c r="S965" s="166"/>
      <c r="T965" s="166"/>
      <c r="U965" s="166"/>
      <c r="V965" s="166"/>
      <c r="W965" s="166"/>
    </row>
    <row r="966" ht="15.75" customHeight="1">
      <c r="P966" s="165"/>
      <c r="Q966" s="166"/>
      <c r="R966" s="166"/>
      <c r="S966" s="166"/>
      <c r="T966" s="166"/>
      <c r="U966" s="166"/>
      <c r="V966" s="166"/>
      <c r="W966" s="166"/>
    </row>
    <row r="967" ht="15.75" customHeight="1">
      <c r="P967" s="165"/>
      <c r="Q967" s="166"/>
      <c r="R967" s="166"/>
      <c r="S967" s="166"/>
      <c r="T967" s="166"/>
      <c r="U967" s="166"/>
      <c r="V967" s="166"/>
      <c r="W967" s="166"/>
    </row>
    <row r="968" ht="15.75" customHeight="1">
      <c r="P968" s="165"/>
      <c r="Q968" s="166"/>
      <c r="R968" s="166"/>
      <c r="S968" s="166"/>
      <c r="T968" s="166"/>
      <c r="U968" s="166"/>
      <c r="V968" s="166"/>
      <c r="W968" s="166"/>
    </row>
    <row r="969" ht="15.75" customHeight="1">
      <c r="P969" s="165"/>
      <c r="Q969" s="166"/>
      <c r="R969" s="166"/>
      <c r="S969" s="166"/>
      <c r="T969" s="166"/>
      <c r="U969" s="166"/>
      <c r="V969" s="166"/>
      <c r="W969" s="166"/>
    </row>
    <row r="970" ht="15.75" customHeight="1">
      <c r="P970" s="165"/>
      <c r="Q970" s="166"/>
      <c r="R970" s="166"/>
      <c r="S970" s="166"/>
      <c r="T970" s="166"/>
      <c r="U970" s="166"/>
      <c r="V970" s="166"/>
      <c r="W970" s="166"/>
    </row>
    <row r="971" ht="15.75" customHeight="1">
      <c r="P971" s="165"/>
      <c r="Q971" s="166"/>
      <c r="R971" s="166"/>
      <c r="S971" s="166"/>
      <c r="T971" s="166"/>
      <c r="U971" s="166"/>
      <c r="V971" s="166"/>
      <c r="W971" s="166"/>
    </row>
    <row r="972" ht="15.75" customHeight="1">
      <c r="P972" s="165"/>
      <c r="Q972" s="166"/>
      <c r="R972" s="166"/>
      <c r="S972" s="166"/>
      <c r="T972" s="166"/>
      <c r="U972" s="166"/>
      <c r="V972" s="166"/>
      <c r="W972" s="166"/>
    </row>
    <row r="973" ht="15.75" customHeight="1">
      <c r="P973" s="165"/>
      <c r="Q973" s="166"/>
      <c r="R973" s="166"/>
      <c r="S973" s="166"/>
      <c r="T973" s="166"/>
      <c r="U973" s="166"/>
      <c r="V973" s="166"/>
      <c r="W973" s="166"/>
    </row>
    <row r="974" ht="15.75" customHeight="1">
      <c r="P974" s="165"/>
      <c r="Q974" s="166"/>
      <c r="R974" s="166"/>
      <c r="S974" s="166"/>
      <c r="T974" s="166"/>
      <c r="U974" s="166"/>
      <c r="V974" s="166"/>
      <c r="W974" s="166"/>
    </row>
    <row r="975" ht="15.75" customHeight="1">
      <c r="P975" s="165"/>
      <c r="Q975" s="166"/>
      <c r="R975" s="166"/>
      <c r="S975" s="166"/>
      <c r="T975" s="166"/>
      <c r="U975" s="166"/>
      <c r="V975" s="166"/>
      <c r="W975" s="166"/>
    </row>
    <row r="976" ht="15.75" customHeight="1">
      <c r="P976" s="165"/>
      <c r="Q976" s="166"/>
      <c r="R976" s="166"/>
      <c r="S976" s="166"/>
      <c r="T976" s="166"/>
      <c r="U976" s="166"/>
      <c r="V976" s="166"/>
      <c r="W976" s="166"/>
    </row>
    <row r="977" ht="15.75" customHeight="1">
      <c r="P977" s="165"/>
      <c r="Q977" s="166"/>
      <c r="R977" s="166"/>
      <c r="S977" s="166"/>
      <c r="T977" s="166"/>
      <c r="U977" s="166"/>
      <c r="V977" s="166"/>
      <c r="W977" s="166"/>
    </row>
    <row r="978" ht="15.75" customHeight="1">
      <c r="P978" s="165"/>
      <c r="Q978" s="166"/>
      <c r="R978" s="166"/>
      <c r="S978" s="166"/>
      <c r="T978" s="166"/>
      <c r="U978" s="166"/>
      <c r="V978" s="166"/>
      <c r="W978" s="166"/>
    </row>
    <row r="979" ht="15.75" customHeight="1">
      <c r="P979" s="165"/>
      <c r="Q979" s="166"/>
      <c r="R979" s="166"/>
      <c r="S979" s="166"/>
      <c r="T979" s="166"/>
      <c r="U979" s="166"/>
      <c r="V979" s="166"/>
      <c r="W979" s="166"/>
    </row>
    <row r="980" ht="15.75" customHeight="1">
      <c r="P980" s="165"/>
      <c r="Q980" s="166"/>
      <c r="R980" s="166"/>
      <c r="S980" s="166"/>
      <c r="T980" s="166"/>
      <c r="U980" s="166"/>
      <c r="V980" s="166"/>
      <c r="W980" s="166"/>
    </row>
    <row r="981" ht="15.75" customHeight="1">
      <c r="P981" s="165"/>
      <c r="Q981" s="166"/>
      <c r="R981" s="166"/>
      <c r="S981" s="166"/>
      <c r="T981" s="166"/>
      <c r="U981" s="166"/>
      <c r="V981" s="166"/>
      <c r="W981" s="166"/>
    </row>
    <row r="982" ht="15.75" customHeight="1">
      <c r="P982" s="165"/>
      <c r="Q982" s="166"/>
      <c r="R982" s="166"/>
      <c r="S982" s="166"/>
      <c r="T982" s="166"/>
      <c r="U982" s="166"/>
      <c r="V982" s="166"/>
      <c r="W982" s="166"/>
    </row>
    <row r="983" ht="15.75" customHeight="1">
      <c r="P983" s="165"/>
      <c r="Q983" s="166"/>
      <c r="R983" s="166"/>
      <c r="S983" s="166"/>
      <c r="T983" s="166"/>
      <c r="U983" s="166"/>
      <c r="V983" s="166"/>
      <c r="W983" s="166"/>
    </row>
    <row r="984" ht="15.75" customHeight="1">
      <c r="P984" s="165"/>
      <c r="Q984" s="166"/>
      <c r="R984" s="166"/>
      <c r="S984" s="166"/>
      <c r="T984" s="166"/>
      <c r="U984" s="166"/>
      <c r="V984" s="166"/>
      <c r="W984" s="166"/>
    </row>
    <row r="985" ht="15.75" customHeight="1">
      <c r="P985" s="165"/>
      <c r="Q985" s="166"/>
      <c r="R985" s="166"/>
      <c r="S985" s="166"/>
      <c r="T985" s="166"/>
      <c r="U985" s="166"/>
      <c r="V985" s="166"/>
      <c r="W985" s="166"/>
    </row>
    <row r="986" ht="15.75" customHeight="1">
      <c r="P986" s="165"/>
      <c r="Q986" s="166"/>
      <c r="R986" s="166"/>
      <c r="S986" s="166"/>
      <c r="T986" s="166"/>
      <c r="U986" s="166"/>
      <c r="V986" s="166"/>
      <c r="W986" s="166"/>
    </row>
    <row r="987" ht="15.75" customHeight="1">
      <c r="P987" s="165"/>
      <c r="Q987" s="166"/>
      <c r="R987" s="166"/>
      <c r="S987" s="166"/>
      <c r="T987" s="166"/>
      <c r="U987" s="166"/>
      <c r="V987" s="166"/>
      <c r="W987" s="166"/>
    </row>
    <row r="988" ht="15.75" customHeight="1">
      <c r="P988" s="165"/>
      <c r="Q988" s="166"/>
      <c r="R988" s="166"/>
      <c r="S988" s="166"/>
      <c r="T988" s="166"/>
      <c r="U988" s="166"/>
      <c r="V988" s="166"/>
      <c r="W988" s="166"/>
    </row>
    <row r="989" ht="15.75" customHeight="1">
      <c r="P989" s="165"/>
      <c r="Q989" s="166"/>
      <c r="R989" s="166"/>
      <c r="S989" s="166"/>
      <c r="T989" s="166"/>
      <c r="U989" s="166"/>
      <c r="V989" s="166"/>
      <c r="W989" s="166"/>
    </row>
    <row r="990" ht="15.75" customHeight="1">
      <c r="P990" s="165"/>
      <c r="Q990" s="166"/>
      <c r="R990" s="166"/>
      <c r="S990" s="166"/>
      <c r="T990" s="166"/>
      <c r="U990" s="166"/>
      <c r="V990" s="166"/>
      <c r="W990" s="166"/>
    </row>
    <row r="991" ht="15.75" customHeight="1">
      <c r="P991" s="165"/>
      <c r="Q991" s="166"/>
      <c r="R991" s="166"/>
      <c r="S991" s="166"/>
      <c r="T991" s="166"/>
      <c r="U991" s="166"/>
      <c r="V991" s="166"/>
      <c r="W991" s="166"/>
    </row>
    <row r="992" ht="15.75" customHeight="1">
      <c r="P992" s="165"/>
      <c r="Q992" s="166"/>
      <c r="R992" s="166"/>
      <c r="S992" s="166"/>
      <c r="T992" s="166"/>
      <c r="U992" s="166"/>
      <c r="V992" s="166"/>
      <c r="W992" s="166"/>
    </row>
    <row r="993" ht="15.75" customHeight="1">
      <c r="P993" s="165"/>
      <c r="Q993" s="166"/>
      <c r="R993" s="166"/>
      <c r="S993" s="166"/>
      <c r="T993" s="166"/>
      <c r="U993" s="166"/>
      <c r="V993" s="166"/>
      <c r="W993" s="166"/>
    </row>
    <row r="994" ht="15.75" customHeight="1">
      <c r="P994" s="165"/>
      <c r="Q994" s="166"/>
      <c r="R994" s="166"/>
      <c r="S994" s="166"/>
      <c r="T994" s="166"/>
      <c r="U994" s="166"/>
      <c r="V994" s="166"/>
      <c r="W994" s="166"/>
    </row>
    <row r="995" ht="15.75" customHeight="1">
      <c r="P995" s="165"/>
      <c r="Q995" s="166"/>
      <c r="R995" s="166"/>
      <c r="S995" s="166"/>
      <c r="T995" s="166"/>
      <c r="U995" s="166"/>
      <c r="V995" s="166"/>
      <c r="W995" s="166"/>
    </row>
    <row r="996" ht="15.75" customHeight="1">
      <c r="P996" s="165"/>
      <c r="Q996" s="166"/>
      <c r="R996" s="166"/>
      <c r="S996" s="166"/>
      <c r="T996" s="166"/>
      <c r="U996" s="166"/>
      <c r="V996" s="166"/>
      <c r="W996" s="166"/>
    </row>
    <row r="997" ht="15.75" customHeight="1">
      <c r="P997" s="165"/>
      <c r="Q997" s="166"/>
      <c r="R997" s="166"/>
      <c r="S997" s="166"/>
      <c r="T997" s="166"/>
      <c r="U997" s="166"/>
      <c r="V997" s="166"/>
      <c r="W997" s="166"/>
    </row>
    <row r="998" ht="15.75" customHeight="1">
      <c r="P998" s="165"/>
      <c r="Q998" s="166"/>
      <c r="R998" s="166"/>
      <c r="S998" s="166"/>
      <c r="T998" s="166"/>
      <c r="U998" s="166"/>
      <c r="V998" s="166"/>
      <c r="W998" s="166"/>
    </row>
    <row r="999" ht="15.75" customHeight="1">
      <c r="P999" s="165"/>
      <c r="Q999" s="166"/>
      <c r="R999" s="166"/>
      <c r="S999" s="166"/>
      <c r="T999" s="166"/>
      <c r="U999" s="166"/>
      <c r="V999" s="166"/>
      <c r="W999" s="166"/>
    </row>
    <row r="1000" ht="15.75" customHeight="1">
      <c r="P1000" s="165"/>
      <c r="Q1000" s="166"/>
      <c r="R1000" s="166"/>
      <c r="S1000" s="166"/>
      <c r="T1000" s="166"/>
      <c r="U1000" s="166"/>
      <c r="V1000" s="166"/>
      <c r="W1000" s="166"/>
    </row>
  </sheetData>
  <mergeCells count="346">
    <mergeCell ref="G21:G22"/>
    <mergeCell ref="H21:H22"/>
    <mergeCell ref="B23:B25"/>
    <mergeCell ref="B26:E26"/>
    <mergeCell ref="B30:T30"/>
    <mergeCell ref="B31:B32"/>
    <mergeCell ref="C31:C32"/>
    <mergeCell ref="T31:T32"/>
    <mergeCell ref="I41:I42"/>
    <mergeCell ref="J41:J42"/>
    <mergeCell ref="L41:L42"/>
    <mergeCell ref="M41:M42"/>
    <mergeCell ref="N41:N42"/>
    <mergeCell ref="O41:O42"/>
    <mergeCell ref="P41:P42"/>
    <mergeCell ref="Q41:Q42"/>
    <mergeCell ref="I31:I32"/>
    <mergeCell ref="J31:J32"/>
    <mergeCell ref="B33:B35"/>
    <mergeCell ref="B36:E36"/>
    <mergeCell ref="B40:T40"/>
    <mergeCell ref="B41:B42"/>
    <mergeCell ref="C41:C42"/>
    <mergeCell ref="T41:T42"/>
    <mergeCell ref="R41:R42"/>
    <mergeCell ref="S41:S42"/>
    <mergeCell ref="U41:U42"/>
    <mergeCell ref="V41:V42"/>
    <mergeCell ref="W41:W42"/>
    <mergeCell ref="X41:X42"/>
    <mergeCell ref="Y41:Y42"/>
    <mergeCell ref="V51:V52"/>
    <mergeCell ref="W51:W52"/>
    <mergeCell ref="X51:X52"/>
    <mergeCell ref="Y51:Y52"/>
    <mergeCell ref="O51:O52"/>
    <mergeCell ref="P51:P52"/>
    <mergeCell ref="Q51:Q52"/>
    <mergeCell ref="R51:R52"/>
    <mergeCell ref="S51:S52"/>
    <mergeCell ref="T51:T52"/>
    <mergeCell ref="U51:U52"/>
    <mergeCell ref="B13:B15"/>
    <mergeCell ref="B16:E16"/>
    <mergeCell ref="B20:T20"/>
    <mergeCell ref="B21:B22"/>
    <mergeCell ref="C21:C22"/>
    <mergeCell ref="D21:D22"/>
    <mergeCell ref="E21:E22"/>
    <mergeCell ref="T21:T22"/>
    <mergeCell ref="L31:L32"/>
    <mergeCell ref="M31:M32"/>
    <mergeCell ref="N31:N32"/>
    <mergeCell ref="O31:O32"/>
    <mergeCell ref="P31:P32"/>
    <mergeCell ref="Q31:Q32"/>
    <mergeCell ref="R31:R32"/>
    <mergeCell ref="S31:S32"/>
    <mergeCell ref="G41:G42"/>
    <mergeCell ref="H41:H42"/>
    <mergeCell ref="D51:D52"/>
    <mergeCell ref="E51:E52"/>
    <mergeCell ref="I51:I52"/>
    <mergeCell ref="J51:J52"/>
    <mergeCell ref="L51:L52"/>
    <mergeCell ref="M51:M52"/>
    <mergeCell ref="N51:N52"/>
    <mergeCell ref="Z61:Z62"/>
    <mergeCell ref="AA61:AA62"/>
    <mergeCell ref="AB61:AB62"/>
    <mergeCell ref="AC61:AC62"/>
    <mergeCell ref="AD61:AD62"/>
    <mergeCell ref="AE61:AE62"/>
    <mergeCell ref="AF61:AF62"/>
    <mergeCell ref="AG61:AG62"/>
    <mergeCell ref="AI61:AI62"/>
    <mergeCell ref="AJ61:AJ62"/>
    <mergeCell ref="AK61:AK62"/>
    <mergeCell ref="AL61:AL62"/>
    <mergeCell ref="AN61:AN62"/>
    <mergeCell ref="AO61:AO62"/>
    <mergeCell ref="AY61:AY62"/>
    <mergeCell ref="AZ61:AZ62"/>
    <mergeCell ref="AP61:AP62"/>
    <mergeCell ref="AQ61:AQ62"/>
    <mergeCell ref="AS61:AS62"/>
    <mergeCell ref="AT61:AT62"/>
    <mergeCell ref="AU61:AU62"/>
    <mergeCell ref="AV61:AV62"/>
    <mergeCell ref="AX61:AX62"/>
    <mergeCell ref="B53:B55"/>
    <mergeCell ref="B56:E56"/>
    <mergeCell ref="B60:T60"/>
    <mergeCell ref="B61:B62"/>
    <mergeCell ref="C61:C62"/>
    <mergeCell ref="D61:D62"/>
    <mergeCell ref="E61:E62"/>
    <mergeCell ref="T61:T62"/>
    <mergeCell ref="I71:I72"/>
    <mergeCell ref="J71:J72"/>
    <mergeCell ref="B73:B75"/>
    <mergeCell ref="B76:E76"/>
    <mergeCell ref="L71:L72"/>
    <mergeCell ref="M71:M72"/>
    <mergeCell ref="N71:N72"/>
    <mergeCell ref="O71:O72"/>
    <mergeCell ref="P71:P72"/>
    <mergeCell ref="Q71:Q72"/>
    <mergeCell ref="R71:R72"/>
    <mergeCell ref="S71:S72"/>
    <mergeCell ref="G61:G62"/>
    <mergeCell ref="H61:H62"/>
    <mergeCell ref="B63:B65"/>
    <mergeCell ref="B66:E66"/>
    <mergeCell ref="B70:T70"/>
    <mergeCell ref="B71:B72"/>
    <mergeCell ref="C71:C72"/>
    <mergeCell ref="T71:T72"/>
    <mergeCell ref="Z71:Z72"/>
    <mergeCell ref="AA71:AA72"/>
    <mergeCell ref="AB71:AB72"/>
    <mergeCell ref="AC71:AC72"/>
    <mergeCell ref="AD71:AD72"/>
    <mergeCell ref="AE71:AE72"/>
    <mergeCell ref="AF71:AF72"/>
    <mergeCell ref="AG71:AG72"/>
    <mergeCell ref="AI71:AI72"/>
    <mergeCell ref="AJ71:AJ72"/>
    <mergeCell ref="AK71:AK72"/>
    <mergeCell ref="AL71:AL72"/>
    <mergeCell ref="AN71:AN72"/>
    <mergeCell ref="AO71:AO72"/>
    <mergeCell ref="AY71:AY72"/>
    <mergeCell ref="AZ71:AZ72"/>
    <mergeCell ref="AP71:AP72"/>
    <mergeCell ref="AQ71:AQ72"/>
    <mergeCell ref="AS71:AS72"/>
    <mergeCell ref="AT71:AT72"/>
    <mergeCell ref="AU71:AU72"/>
    <mergeCell ref="AV71:AV72"/>
    <mergeCell ref="AX71:AX72"/>
    <mergeCell ref="I61:I62"/>
    <mergeCell ref="J61:J62"/>
    <mergeCell ref="L61:L62"/>
    <mergeCell ref="M61:M62"/>
    <mergeCell ref="N61:N62"/>
    <mergeCell ref="O61:O62"/>
    <mergeCell ref="P61:P62"/>
    <mergeCell ref="Q61:Q62"/>
    <mergeCell ref="R61:R62"/>
    <mergeCell ref="S61:S62"/>
    <mergeCell ref="U61:U62"/>
    <mergeCell ref="V61:V62"/>
    <mergeCell ref="W61:W62"/>
    <mergeCell ref="X61:X62"/>
    <mergeCell ref="Y61:Y62"/>
    <mergeCell ref="D71:D72"/>
    <mergeCell ref="E71:E72"/>
    <mergeCell ref="G71:G72"/>
    <mergeCell ref="H71:H72"/>
    <mergeCell ref="U71:U72"/>
    <mergeCell ref="V71:V72"/>
    <mergeCell ref="W71:W72"/>
    <mergeCell ref="X71:X72"/>
    <mergeCell ref="Y71:Y7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BK11:BM11"/>
    <mergeCell ref="U11:U12"/>
    <mergeCell ref="V11:V12"/>
    <mergeCell ref="W11:W12"/>
    <mergeCell ref="X11:X12"/>
    <mergeCell ref="Y11:Y12"/>
    <mergeCell ref="Z11:Z12"/>
    <mergeCell ref="AA11:AA12"/>
    <mergeCell ref="AB11:AB12"/>
    <mergeCell ref="AC11:AC12"/>
    <mergeCell ref="AD11:AD12"/>
    <mergeCell ref="AE11:AE12"/>
    <mergeCell ref="AF11:AF12"/>
    <mergeCell ref="AG11:AG12"/>
    <mergeCell ref="AI11:AI12"/>
    <mergeCell ref="AJ11:AJ12"/>
    <mergeCell ref="AK11:AK12"/>
    <mergeCell ref="AL11:AL12"/>
    <mergeCell ref="AN11:AN12"/>
    <mergeCell ref="AX11:AX12"/>
    <mergeCell ref="AY11:AY12"/>
    <mergeCell ref="AZ11:AZ12"/>
    <mergeCell ref="AO11:AO12"/>
    <mergeCell ref="AP11:AP12"/>
    <mergeCell ref="AQ11:AQ12"/>
    <mergeCell ref="AS11:AS12"/>
    <mergeCell ref="AT11:AT12"/>
    <mergeCell ref="AU11:AU12"/>
    <mergeCell ref="AV11:AV12"/>
    <mergeCell ref="M3:T6"/>
    <mergeCell ref="B10:Z10"/>
    <mergeCell ref="B11:B12"/>
    <mergeCell ref="C11:C12"/>
    <mergeCell ref="D11:D12"/>
    <mergeCell ref="E11:E12"/>
    <mergeCell ref="F11:F12"/>
    <mergeCell ref="Z21:Z22"/>
    <mergeCell ref="AA21:AA22"/>
    <mergeCell ref="AB21:AB22"/>
    <mergeCell ref="AC21:AC22"/>
    <mergeCell ref="AD21:AD22"/>
    <mergeCell ref="AE21:AE22"/>
    <mergeCell ref="AF21:AF22"/>
    <mergeCell ref="AG21:AG22"/>
    <mergeCell ref="AI21:AI22"/>
    <mergeCell ref="AJ21:AJ22"/>
    <mergeCell ref="AK21:AK22"/>
    <mergeCell ref="AL21:AL22"/>
    <mergeCell ref="AN21:AN22"/>
    <mergeCell ref="AO21:AO22"/>
    <mergeCell ref="AY21:AY22"/>
    <mergeCell ref="AZ21:AZ22"/>
    <mergeCell ref="BK21:BM21"/>
    <mergeCell ref="AP21:AP22"/>
    <mergeCell ref="AQ21:AQ22"/>
    <mergeCell ref="AS21:AS22"/>
    <mergeCell ref="AT21:AT22"/>
    <mergeCell ref="AU21:AU22"/>
    <mergeCell ref="AV21:AV22"/>
    <mergeCell ref="AX21:AX22"/>
    <mergeCell ref="Z31:Z32"/>
    <mergeCell ref="AA31:AA32"/>
    <mergeCell ref="AB31:AB32"/>
    <mergeCell ref="AC31:AC32"/>
    <mergeCell ref="AD31:AD32"/>
    <mergeCell ref="AE31:AE32"/>
    <mergeCell ref="AF31:AF32"/>
    <mergeCell ref="AG31:AG32"/>
    <mergeCell ref="AI31:AI32"/>
    <mergeCell ref="AJ31:AJ32"/>
    <mergeCell ref="AK31:AK32"/>
    <mergeCell ref="AL31:AL32"/>
    <mergeCell ref="AN31:AN32"/>
    <mergeCell ref="AO31:AO32"/>
    <mergeCell ref="AY31:AY32"/>
    <mergeCell ref="AZ31:AZ32"/>
    <mergeCell ref="BK31:BM31"/>
    <mergeCell ref="AP31:AP32"/>
    <mergeCell ref="AQ31:AQ32"/>
    <mergeCell ref="AS31:AS32"/>
    <mergeCell ref="AT31:AT32"/>
    <mergeCell ref="AU31:AU32"/>
    <mergeCell ref="AV31:AV32"/>
    <mergeCell ref="AX31:AX32"/>
    <mergeCell ref="I21:I22"/>
    <mergeCell ref="J21:J22"/>
    <mergeCell ref="L21:L22"/>
    <mergeCell ref="M21:M22"/>
    <mergeCell ref="N21:N22"/>
    <mergeCell ref="O21:O22"/>
    <mergeCell ref="P21:P22"/>
    <mergeCell ref="Q21:Q22"/>
    <mergeCell ref="R21:R22"/>
    <mergeCell ref="S21:S22"/>
    <mergeCell ref="U21:U22"/>
    <mergeCell ref="V21:V22"/>
    <mergeCell ref="W21:W22"/>
    <mergeCell ref="X21:X22"/>
    <mergeCell ref="Y21:Y22"/>
    <mergeCell ref="D31:D32"/>
    <mergeCell ref="E31:E32"/>
    <mergeCell ref="G31:G32"/>
    <mergeCell ref="H31:H32"/>
    <mergeCell ref="U31:U32"/>
    <mergeCell ref="V31:V32"/>
    <mergeCell ref="W31:W32"/>
    <mergeCell ref="X31:X32"/>
    <mergeCell ref="Y31:Y32"/>
    <mergeCell ref="Z41:Z42"/>
    <mergeCell ref="AA41:AA42"/>
    <mergeCell ref="AB41:AB42"/>
    <mergeCell ref="AC41:AC42"/>
    <mergeCell ref="AD41:AD42"/>
    <mergeCell ref="AE41:AE42"/>
    <mergeCell ref="AF41:AF42"/>
    <mergeCell ref="AG41:AG42"/>
    <mergeCell ref="AI41:AI42"/>
    <mergeCell ref="AJ41:AJ42"/>
    <mergeCell ref="AK41:AK42"/>
    <mergeCell ref="AL41:AL42"/>
    <mergeCell ref="AN41:AN42"/>
    <mergeCell ref="AO41:AO42"/>
    <mergeCell ref="AY41:AY42"/>
    <mergeCell ref="AZ41:AZ42"/>
    <mergeCell ref="BK41:BM41"/>
    <mergeCell ref="AP41:AP42"/>
    <mergeCell ref="AQ41:AQ42"/>
    <mergeCell ref="AS41:AS42"/>
    <mergeCell ref="AT41:AT42"/>
    <mergeCell ref="AU41:AU42"/>
    <mergeCell ref="AV41:AV42"/>
    <mergeCell ref="AX41:AX42"/>
    <mergeCell ref="D41:D42"/>
    <mergeCell ref="E41:E42"/>
    <mergeCell ref="B43:B45"/>
    <mergeCell ref="B46:E46"/>
    <mergeCell ref="B50:T50"/>
    <mergeCell ref="B51:B52"/>
    <mergeCell ref="C51:C52"/>
    <mergeCell ref="G51:G52"/>
    <mergeCell ref="H51:H52"/>
    <mergeCell ref="Z51:Z52"/>
    <mergeCell ref="AA51:AA52"/>
    <mergeCell ref="AB51:AB52"/>
    <mergeCell ref="AC51:AC52"/>
    <mergeCell ref="AD51:AD52"/>
    <mergeCell ref="AE51:AE52"/>
    <mergeCell ref="AF51:AF52"/>
    <mergeCell ref="AG51:AG52"/>
    <mergeCell ref="AI51:AI52"/>
    <mergeCell ref="AJ51:AJ52"/>
    <mergeCell ref="AK51:AK52"/>
    <mergeCell ref="AL51:AL52"/>
    <mergeCell ref="AV51:AV52"/>
    <mergeCell ref="AX51:AX52"/>
    <mergeCell ref="AY51:AY52"/>
    <mergeCell ref="AZ51:AZ52"/>
    <mergeCell ref="BK51:BM51"/>
    <mergeCell ref="BK61:BM61"/>
    <mergeCell ref="BK71:BM71"/>
    <mergeCell ref="AN51:AN52"/>
    <mergeCell ref="AO51:AO52"/>
    <mergeCell ref="AP51:AP52"/>
    <mergeCell ref="AQ51:AQ52"/>
    <mergeCell ref="AS51:AS52"/>
    <mergeCell ref="AT51:AT52"/>
    <mergeCell ref="AU51:AU52"/>
  </mergeCells>
  <printOptions gridLines="1" horizontalCentered="1"/>
  <pageMargins bottom="0.75" footer="0.0" header="0.0" left="0.25" right="0.25" top="0.75"/>
  <pageSetup fitToHeight="0" paperSize="8"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9.0"/>
  </cols>
  <sheetData>
    <row r="1" ht="30.0" customHeight="1">
      <c r="A1" s="2"/>
      <c r="B1" s="128" t="s">
        <v>14</v>
      </c>
      <c r="C1" s="39" t="s">
        <v>15</v>
      </c>
      <c r="D1" s="40" t="s">
        <v>19</v>
      </c>
      <c r="E1" s="40" t="s">
        <v>20</v>
      </c>
      <c r="F1" s="40" t="s">
        <v>19</v>
      </c>
      <c r="G1" s="40" t="s">
        <v>24</v>
      </c>
      <c r="H1" s="129" t="s">
        <v>28</v>
      </c>
      <c r="I1" s="40" t="s">
        <v>19</v>
      </c>
      <c r="J1" s="40" t="s">
        <v>19</v>
      </c>
      <c r="K1" s="130" t="s">
        <v>72</v>
      </c>
      <c r="L1" s="40" t="s">
        <v>19</v>
      </c>
      <c r="M1" s="42" t="s">
        <v>35</v>
      </c>
      <c r="N1" s="40" t="s">
        <v>19</v>
      </c>
      <c r="O1" s="42" t="s">
        <v>37</v>
      </c>
      <c r="P1" s="40" t="s">
        <v>19</v>
      </c>
      <c r="Q1" s="42" t="s">
        <v>39</v>
      </c>
      <c r="R1" s="40" t="s">
        <v>19</v>
      </c>
      <c r="S1" s="42" t="s">
        <v>41</v>
      </c>
      <c r="T1" s="40" t="s">
        <v>19</v>
      </c>
      <c r="U1" s="42" t="s">
        <v>43</v>
      </c>
      <c r="V1" s="40" t="s">
        <v>19</v>
      </c>
      <c r="W1" s="42" t="s">
        <v>75</v>
      </c>
      <c r="X1" s="40" t="s">
        <v>19</v>
      </c>
      <c r="Y1" s="5"/>
      <c r="Z1" s="5"/>
      <c r="AA1" s="5"/>
      <c r="AB1" s="5"/>
      <c r="AC1" s="5"/>
      <c r="AD1" s="5"/>
      <c r="AE1" s="5"/>
      <c r="AF1" s="5"/>
      <c r="AG1" s="9"/>
      <c r="AH1" s="46"/>
      <c r="AI1" s="46"/>
      <c r="AJ1" s="46"/>
      <c r="AK1" s="46"/>
      <c r="AL1" s="46"/>
      <c r="AM1" s="47"/>
      <c r="AN1" s="48"/>
      <c r="AO1" s="48"/>
      <c r="AT1" s="7"/>
      <c r="AU1" s="7"/>
      <c r="AV1" s="7"/>
      <c r="AW1" s="7"/>
      <c r="AX1" s="7"/>
      <c r="AY1" s="7"/>
      <c r="AZ1" s="7"/>
      <c r="BA1" s="7"/>
      <c r="BB1" s="7"/>
      <c r="BC1" s="7"/>
      <c r="BD1" s="7"/>
      <c r="BE1" s="7"/>
    </row>
    <row r="2" ht="30.0" customHeight="1">
      <c r="A2" s="2"/>
      <c r="C2" s="28"/>
      <c r="D2" s="49"/>
      <c r="E2" s="49"/>
      <c r="F2" s="49"/>
      <c r="G2" s="49"/>
      <c r="H2" s="49"/>
      <c r="I2" s="49"/>
      <c r="J2" s="49"/>
      <c r="K2" s="49"/>
      <c r="L2" s="49"/>
      <c r="M2" s="49"/>
      <c r="N2" s="49"/>
      <c r="O2" s="49"/>
      <c r="P2" s="49"/>
      <c r="Q2" s="49"/>
      <c r="R2" s="49"/>
      <c r="S2" s="49"/>
      <c r="T2" s="49"/>
      <c r="U2" s="49"/>
      <c r="V2" s="49"/>
      <c r="W2" s="49"/>
      <c r="X2" s="49"/>
      <c r="Y2" s="5"/>
      <c r="Z2" s="5"/>
      <c r="AA2" s="5"/>
      <c r="AB2" s="5"/>
      <c r="AC2" s="5"/>
      <c r="AD2" s="5"/>
      <c r="AE2" s="5"/>
      <c r="AF2" s="5"/>
      <c r="AG2" s="50"/>
      <c r="AH2" s="51"/>
      <c r="AI2" s="51"/>
      <c r="AJ2" s="51"/>
      <c r="AK2" s="51"/>
      <c r="AL2" s="51"/>
      <c r="AM2" s="52">
        <v>18.0</v>
      </c>
      <c r="AN2" s="52">
        <v>25.0</v>
      </c>
      <c r="AO2" s="52">
        <v>2.0</v>
      </c>
      <c r="AP2" s="52">
        <v>9.0</v>
      </c>
      <c r="AQ2" s="52">
        <v>16.0</v>
      </c>
      <c r="AR2" s="52">
        <v>23.0</v>
      </c>
      <c r="AS2" s="52">
        <v>30.0</v>
      </c>
      <c r="AT2" s="7"/>
      <c r="AU2" s="7"/>
      <c r="AV2" s="7"/>
      <c r="AW2" s="7"/>
      <c r="AX2" s="7"/>
      <c r="AY2" s="7"/>
      <c r="AZ2" s="7"/>
      <c r="BA2" s="7"/>
      <c r="BB2" s="7"/>
      <c r="BC2" s="7"/>
      <c r="BD2" s="7"/>
      <c r="BE2" s="7"/>
    </row>
    <row r="3" ht="51.75" customHeight="1">
      <c r="A3" s="2"/>
      <c r="B3" s="53" t="s">
        <v>77</v>
      </c>
      <c r="C3" s="54" t="s">
        <v>15</v>
      </c>
      <c r="D3" s="56">
        <v>0.042274024024024026</v>
      </c>
      <c r="E3" s="131">
        <v>2.06194391660303</v>
      </c>
      <c r="F3" s="56">
        <v>0.06454654654654654</v>
      </c>
      <c r="G3" s="131">
        <v>2.814832046152415</v>
      </c>
      <c r="H3" s="58">
        <v>2.72</v>
      </c>
      <c r="I3" s="56">
        <v>0.24407582582582582</v>
      </c>
      <c r="J3" s="132">
        <v>0.06930405405405406</v>
      </c>
      <c r="K3" s="58">
        <v>3.01</v>
      </c>
      <c r="L3" s="132">
        <v>0.07657807807807808</v>
      </c>
      <c r="M3" s="133">
        <v>2.86</v>
      </c>
      <c r="N3" s="132">
        <v>0.08352327327327327</v>
      </c>
      <c r="O3" s="133">
        <v>2.98</v>
      </c>
      <c r="P3" s="132">
        <v>0.10678228228228229</v>
      </c>
      <c r="Q3" s="133">
        <v>4.16</v>
      </c>
      <c r="R3" s="132">
        <v>0.11969744744744745</v>
      </c>
      <c r="S3" s="133">
        <v>3.5</v>
      </c>
      <c r="T3" s="132">
        <v>0.2212072072072072</v>
      </c>
      <c r="U3" s="133">
        <v>4.78</v>
      </c>
      <c r="V3" s="132">
        <v>0.12431306306306306</v>
      </c>
      <c r="W3" s="133">
        <v>5.53</v>
      </c>
      <c r="X3" s="132">
        <v>0.08508333333333333</v>
      </c>
      <c r="Y3" s="5"/>
      <c r="Z3" s="5"/>
      <c r="AA3" s="5"/>
      <c r="AB3" s="5"/>
      <c r="AC3" s="5"/>
      <c r="AD3" s="5"/>
      <c r="AE3" s="5"/>
      <c r="AF3" s="5"/>
      <c r="AG3" s="60"/>
      <c r="AH3" s="61"/>
      <c r="AI3" s="61"/>
      <c r="AJ3" s="61"/>
      <c r="AK3" s="61"/>
      <c r="AL3" s="61"/>
      <c r="AM3" s="62"/>
      <c r="AN3" s="62"/>
      <c r="AO3" s="62"/>
      <c r="AP3" s="62"/>
      <c r="AQ3" s="62"/>
      <c r="AR3" s="62"/>
      <c r="AS3" s="62"/>
      <c r="AT3" s="62"/>
      <c r="AU3" s="62"/>
      <c r="AV3" s="62"/>
      <c r="AW3" s="62"/>
      <c r="AX3" s="62"/>
      <c r="AY3" s="62"/>
      <c r="AZ3" s="62"/>
      <c r="BA3" s="62"/>
      <c r="BB3" s="62"/>
      <c r="BC3" s="62"/>
      <c r="BD3" s="62"/>
      <c r="BE3" s="62"/>
    </row>
    <row r="4" ht="51.75" customHeight="1">
      <c r="A4" s="2"/>
      <c r="B4" s="108"/>
      <c r="C4" s="54" t="s">
        <v>68</v>
      </c>
      <c r="D4" s="56">
        <v>0.004706614968863823</v>
      </c>
      <c r="E4" s="131">
        <v>1.8902341604673223</v>
      </c>
      <c r="F4" s="56">
        <v>0.0075414169897779345</v>
      </c>
      <c r="G4" s="131">
        <v>2.008475500506349</v>
      </c>
      <c r="H4" s="57">
        <v>2.158040125649161</v>
      </c>
      <c r="I4" s="56">
        <v>0.007443426154388438</v>
      </c>
      <c r="J4" s="132">
        <v>0.007257079074139349</v>
      </c>
      <c r="K4" s="58">
        <v>2.46</v>
      </c>
      <c r="L4" s="132">
        <v>0.007909058864998238</v>
      </c>
      <c r="M4" s="58">
        <v>2.24</v>
      </c>
      <c r="N4" s="132">
        <v>0.0072286452825754905</v>
      </c>
      <c r="O4" s="58">
        <v>2.31</v>
      </c>
      <c r="P4" s="132">
        <v>0.008639877805193279</v>
      </c>
      <c r="Q4" s="58"/>
      <c r="R4" s="132"/>
      <c r="S4" s="58"/>
      <c r="T4" s="132"/>
      <c r="U4" s="58"/>
      <c r="V4" s="132"/>
      <c r="W4" s="58"/>
      <c r="X4" s="132"/>
      <c r="Y4" s="5"/>
      <c r="Z4" s="5"/>
      <c r="AA4" s="5"/>
      <c r="AB4" s="5"/>
      <c r="AC4" s="5"/>
      <c r="AD4" s="5"/>
      <c r="AE4" s="5"/>
      <c r="AF4" s="5"/>
      <c r="AG4" s="60"/>
      <c r="AH4" s="61"/>
      <c r="AI4" s="61"/>
      <c r="AJ4" s="61"/>
      <c r="AK4" s="61"/>
      <c r="AL4" s="61"/>
      <c r="AM4" s="62"/>
      <c r="AN4" s="62"/>
      <c r="AO4" s="62"/>
      <c r="AP4" s="62"/>
      <c r="AQ4" s="62"/>
      <c r="AR4" s="62"/>
      <c r="AS4" s="62"/>
      <c r="AT4" s="62"/>
      <c r="AU4" s="62"/>
      <c r="AV4" s="62"/>
      <c r="AW4" s="62"/>
      <c r="AX4" s="62"/>
      <c r="AY4" s="62"/>
      <c r="AZ4" s="62"/>
      <c r="BA4" s="62"/>
      <c r="BB4" s="62"/>
      <c r="BC4" s="62"/>
      <c r="BD4" s="62"/>
      <c r="BE4" s="62"/>
    </row>
    <row r="5" ht="51.75" customHeight="1">
      <c r="A5" s="2"/>
      <c r="B5" s="63"/>
      <c r="C5" s="54" t="s">
        <v>49</v>
      </c>
      <c r="D5" s="56">
        <v>0.2394622030237581</v>
      </c>
      <c r="E5" s="131">
        <v>3.6970262737776336</v>
      </c>
      <c r="F5" s="56">
        <v>0.23292116630669546</v>
      </c>
      <c r="G5" s="131">
        <v>3.138345272040244</v>
      </c>
      <c r="H5" s="57">
        <v>2.916312924930426</v>
      </c>
      <c r="I5" s="56">
        <v>0.24524406047516198</v>
      </c>
      <c r="J5" s="132">
        <v>0.24703455723542117</v>
      </c>
      <c r="K5" s="58">
        <v>3.18</v>
      </c>
      <c r="L5" s="132">
        <v>0.29903239740820736</v>
      </c>
      <c r="M5" s="58">
        <v>2.77</v>
      </c>
      <c r="N5" s="132">
        <v>0.34853995680345573</v>
      </c>
      <c r="O5" s="58">
        <v>2.69</v>
      </c>
      <c r="P5" s="132">
        <v>0.36103131749460043</v>
      </c>
      <c r="Q5" s="58">
        <v>3.44</v>
      </c>
      <c r="R5" s="132">
        <v>0.04280345572354212</v>
      </c>
      <c r="S5" s="58"/>
      <c r="T5" s="132"/>
      <c r="U5" s="58">
        <v>2.95</v>
      </c>
      <c r="V5" s="132">
        <v>0.03395572354211663</v>
      </c>
      <c r="W5" s="58"/>
      <c r="X5" s="132"/>
      <c r="Y5" s="5"/>
      <c r="Z5" s="5"/>
      <c r="AA5" s="5"/>
      <c r="AB5" s="5"/>
      <c r="AC5" s="5"/>
      <c r="AD5" s="5"/>
      <c r="AE5" s="5"/>
      <c r="AF5" s="5"/>
      <c r="AG5" s="60"/>
      <c r="AH5" s="61"/>
      <c r="AI5" s="61"/>
      <c r="AJ5" s="61"/>
      <c r="AK5" s="61"/>
      <c r="AL5" s="61"/>
      <c r="AM5" s="7"/>
      <c r="AN5" s="7"/>
      <c r="AO5" s="7"/>
      <c r="AP5" s="7"/>
      <c r="AQ5" s="7"/>
      <c r="AR5" s="7"/>
      <c r="AS5" s="7"/>
      <c r="AT5" s="7"/>
      <c r="AU5" s="7"/>
      <c r="AV5" s="7"/>
      <c r="AW5" s="7"/>
      <c r="AX5" s="7"/>
      <c r="AY5" s="7"/>
      <c r="AZ5" s="7"/>
      <c r="BA5" s="7"/>
      <c r="BB5" s="7"/>
      <c r="BC5" s="7"/>
      <c r="BD5" s="7"/>
      <c r="BE5" s="7"/>
    </row>
    <row r="6" ht="26.25" customHeight="1">
      <c r="A6" s="2"/>
      <c r="B6" s="65"/>
      <c r="C6" s="66"/>
      <c r="D6" s="67"/>
      <c r="E6" s="67"/>
      <c r="F6" s="68"/>
      <c r="G6" s="68"/>
      <c r="H6" s="137"/>
      <c r="I6" s="68"/>
      <c r="J6" s="68"/>
      <c r="K6" s="68"/>
      <c r="L6" s="68"/>
      <c r="M6" s="68"/>
      <c r="N6" s="68"/>
      <c r="O6" s="70"/>
      <c r="P6" s="70"/>
      <c r="Q6" s="70"/>
      <c r="R6" s="70"/>
      <c r="S6" s="70"/>
      <c r="T6" s="70"/>
      <c r="U6" s="70"/>
      <c r="V6" s="70"/>
      <c r="W6" s="70"/>
      <c r="X6" s="70"/>
      <c r="Y6" s="5"/>
      <c r="Z6" s="5"/>
      <c r="AA6" s="5"/>
      <c r="AB6" s="5"/>
      <c r="AC6" s="5"/>
      <c r="AD6" s="5"/>
      <c r="AE6" s="5"/>
      <c r="AF6" s="5"/>
      <c r="AG6" s="2"/>
      <c r="AH6" s="6"/>
      <c r="AI6" s="6"/>
      <c r="AJ6" s="6"/>
      <c r="AK6" s="6"/>
      <c r="AL6" s="6"/>
      <c r="AM6" s="7"/>
      <c r="AN6" s="7"/>
      <c r="AO6" s="7"/>
      <c r="AP6" s="7"/>
      <c r="AQ6" s="7"/>
      <c r="AR6" s="7"/>
      <c r="AS6" s="7"/>
      <c r="AT6" s="7"/>
      <c r="AU6" s="7"/>
      <c r="AV6" s="7"/>
      <c r="AW6" s="7"/>
      <c r="AX6" s="7"/>
      <c r="AY6" s="7"/>
      <c r="AZ6" s="7"/>
      <c r="BA6" s="7"/>
      <c r="BB6" s="7"/>
      <c r="BC6" s="7"/>
      <c r="BD6" s="7"/>
      <c r="BE6" s="7"/>
    </row>
    <row r="7" ht="33.75" customHeight="1">
      <c r="A7" s="72"/>
      <c r="B7" s="112" t="s">
        <v>64</v>
      </c>
      <c r="C7" s="74"/>
      <c r="D7" s="75"/>
      <c r="E7" s="75"/>
      <c r="F7" s="114"/>
      <c r="G7" s="138"/>
      <c r="H7" s="139"/>
      <c r="I7" s="114"/>
      <c r="J7" s="114"/>
      <c r="K7" s="114"/>
      <c r="L7" s="114"/>
      <c r="M7" s="114"/>
      <c r="N7" s="114"/>
      <c r="O7" s="82"/>
      <c r="P7" s="82"/>
      <c r="Q7" s="82"/>
      <c r="R7" s="82"/>
      <c r="S7" s="82"/>
      <c r="T7" s="82"/>
      <c r="U7" s="82"/>
      <c r="V7" s="82"/>
      <c r="W7" s="82"/>
      <c r="X7" s="82"/>
      <c r="Y7" s="5"/>
      <c r="Z7" s="5"/>
      <c r="AA7" s="5"/>
      <c r="AB7" s="5"/>
      <c r="AC7" s="5"/>
      <c r="AD7" s="5"/>
      <c r="AE7" s="5"/>
      <c r="AF7" s="5"/>
      <c r="AG7" s="72"/>
      <c r="AH7" s="83"/>
      <c r="AI7" s="83"/>
      <c r="AJ7" s="83"/>
      <c r="AK7" s="83"/>
      <c r="AL7" s="83"/>
      <c r="AM7" s="84"/>
      <c r="AN7" s="84"/>
      <c r="AO7" s="84"/>
      <c r="AP7" s="84"/>
      <c r="AQ7" s="84"/>
      <c r="AR7" s="84"/>
      <c r="AS7" s="84"/>
      <c r="AT7" s="84"/>
      <c r="AU7" s="84"/>
      <c r="AV7" s="84"/>
      <c r="AW7" s="84"/>
      <c r="AX7" s="84"/>
      <c r="AY7" s="84"/>
      <c r="AZ7" s="84"/>
      <c r="BA7" s="84"/>
      <c r="BB7" s="84"/>
      <c r="BC7" s="84"/>
      <c r="BD7" s="84"/>
      <c r="BE7" s="84"/>
    </row>
    <row r="8" ht="33.75" customHeight="1">
      <c r="A8" s="72"/>
      <c r="B8" s="73" t="s">
        <v>51</v>
      </c>
      <c r="C8" s="74"/>
      <c r="D8" s="75"/>
      <c r="E8" s="75"/>
      <c r="F8" s="75"/>
      <c r="G8" s="81"/>
      <c r="H8" s="140"/>
      <c r="I8" s="81"/>
      <c r="J8" s="81"/>
      <c r="K8" s="75"/>
      <c r="L8" s="81"/>
      <c r="M8" s="81"/>
      <c r="N8" s="75"/>
      <c r="O8" s="82"/>
      <c r="P8" s="82"/>
      <c r="Q8" s="82"/>
      <c r="R8" s="82"/>
      <c r="S8" s="82"/>
      <c r="T8" s="82"/>
      <c r="U8" s="82"/>
      <c r="V8" s="82"/>
      <c r="W8" s="82"/>
      <c r="X8" s="82"/>
      <c r="Y8" s="5"/>
      <c r="Z8" s="5"/>
      <c r="AA8" s="5"/>
      <c r="AB8" s="5"/>
      <c r="AC8" s="5"/>
      <c r="AD8" s="5"/>
      <c r="AE8" s="5"/>
      <c r="AF8" s="5"/>
      <c r="AG8" s="72"/>
      <c r="AH8" s="83"/>
      <c r="AI8" s="83"/>
      <c r="AJ8" s="83"/>
      <c r="AK8" s="83"/>
      <c r="AL8" s="83"/>
      <c r="AM8" s="84"/>
      <c r="AN8" s="84"/>
      <c r="AO8" s="84"/>
      <c r="AP8" s="84"/>
      <c r="AQ8" s="84"/>
      <c r="AR8" s="84"/>
      <c r="AS8" s="84"/>
      <c r="AT8" s="84"/>
      <c r="AU8" s="84"/>
      <c r="AV8" s="84"/>
      <c r="AW8" s="84"/>
      <c r="AX8" s="84"/>
      <c r="AY8" s="84"/>
      <c r="AZ8" s="84"/>
      <c r="BA8" s="84"/>
      <c r="BB8" s="84"/>
      <c r="BC8" s="84"/>
      <c r="BD8" s="84"/>
      <c r="BE8" s="84"/>
    </row>
    <row r="11">
      <c r="D11" s="167" t="s">
        <v>83</v>
      </c>
      <c r="E11" s="167" t="s">
        <v>84</v>
      </c>
      <c r="F11" s="167" t="s">
        <v>85</v>
      </c>
      <c r="G11" s="167" t="s">
        <v>86</v>
      </c>
      <c r="H11" s="167" t="s">
        <v>87</v>
      </c>
      <c r="I11" s="167" t="s">
        <v>88</v>
      </c>
      <c r="J11" s="167" t="s">
        <v>89</v>
      </c>
      <c r="K11" s="167" t="s">
        <v>90</v>
      </c>
      <c r="L11" s="167" t="s">
        <v>91</v>
      </c>
      <c r="M11" s="167" t="s">
        <v>92</v>
      </c>
      <c r="N11" s="167" t="s">
        <v>93</v>
      </c>
      <c r="O11" s="167" t="s">
        <v>94</v>
      </c>
    </row>
    <row r="12">
      <c r="C12" s="54" t="s">
        <v>15</v>
      </c>
      <c r="E12" s="168">
        <v>0.042274024024024026</v>
      </c>
      <c r="F12" s="56">
        <v>0.06454654654654654</v>
      </c>
      <c r="G12" s="107">
        <v>0.0672</v>
      </c>
      <c r="H12" s="132">
        <v>0.06930405405405406</v>
      </c>
      <c r="I12" s="132">
        <v>0.07657807807807808</v>
      </c>
      <c r="J12" s="132">
        <v>0.08352327327327327</v>
      </c>
      <c r="K12" s="132">
        <v>0.10678228228228229</v>
      </c>
      <c r="L12" s="132">
        <v>0.11969744744744745</v>
      </c>
      <c r="M12" s="132">
        <v>0.2212072072072072</v>
      </c>
      <c r="N12" s="132">
        <v>0.12431306306306306</v>
      </c>
      <c r="O12" s="132">
        <v>0.08508333333333333</v>
      </c>
    </row>
    <row r="13">
      <c r="C13" s="54" t="s">
        <v>68</v>
      </c>
      <c r="E13" s="168">
        <v>0.004706614968863823</v>
      </c>
      <c r="F13" s="56">
        <v>0.0075414169897779345</v>
      </c>
      <c r="G13" s="56">
        <v>0.007443426154388438</v>
      </c>
      <c r="H13" s="132">
        <v>0.007257079074139349</v>
      </c>
      <c r="I13" s="132">
        <v>0.007909058864998238</v>
      </c>
      <c r="J13" s="132">
        <v>0.0072286452825754905</v>
      </c>
      <c r="K13" s="132">
        <v>0.008639877805193279</v>
      </c>
      <c r="L13" s="132"/>
      <c r="M13" s="132"/>
      <c r="N13" s="132"/>
      <c r="O13" s="132"/>
    </row>
    <row r="14">
      <c r="C14" s="54" t="s">
        <v>49</v>
      </c>
      <c r="E14" s="168">
        <v>0.2394622030237581</v>
      </c>
      <c r="F14" s="56">
        <v>0.23292116630669546</v>
      </c>
      <c r="G14" s="56">
        <v>0.24524406047516198</v>
      </c>
      <c r="H14" s="132">
        <v>0.24703455723542117</v>
      </c>
      <c r="I14" s="132">
        <v>0.29903239740820736</v>
      </c>
      <c r="J14" s="132">
        <v>0.34853995680345573</v>
      </c>
      <c r="K14" s="132">
        <v>0.36103131749460043</v>
      </c>
      <c r="L14" s="132">
        <v>0.04280345572354212</v>
      </c>
      <c r="M14" s="132"/>
      <c r="N14" s="132">
        <v>0.03395572354211663</v>
      </c>
      <c r="O14" s="132"/>
    </row>
    <row r="16">
      <c r="E16" s="165">
        <v>2.06194391660303</v>
      </c>
      <c r="F16" s="165">
        <v>2.814832046152415</v>
      </c>
      <c r="G16" s="165">
        <v>2.72</v>
      </c>
      <c r="H16" s="169">
        <v>2.747</v>
      </c>
      <c r="I16" s="165">
        <v>3.01</v>
      </c>
      <c r="J16" s="170">
        <v>2.86</v>
      </c>
      <c r="K16" s="170">
        <v>2.98</v>
      </c>
      <c r="L16" s="170">
        <v>4.16</v>
      </c>
      <c r="M16" s="170">
        <v>3.5</v>
      </c>
      <c r="N16" s="170">
        <v>4.78</v>
      </c>
      <c r="O16" s="170">
        <v>5.53</v>
      </c>
    </row>
    <row r="17">
      <c r="E17" s="165">
        <v>1.8902341604673223</v>
      </c>
      <c r="F17" s="165">
        <v>2.008475500506349</v>
      </c>
      <c r="G17" s="165">
        <v>2.158040125649161</v>
      </c>
      <c r="H17" s="169">
        <v>2.19</v>
      </c>
      <c r="I17" s="165">
        <v>2.46</v>
      </c>
      <c r="J17" s="165">
        <v>2.24</v>
      </c>
      <c r="K17" s="165">
        <v>2.31</v>
      </c>
      <c r="L17" s="165"/>
      <c r="M17" s="165"/>
      <c r="N17" s="165"/>
      <c r="O17" s="165"/>
    </row>
    <row r="18">
      <c r="E18" s="165">
        <v>3.6970262737776336</v>
      </c>
      <c r="F18" s="165">
        <v>3.138345272040244</v>
      </c>
      <c r="G18" s="165">
        <v>2.916312924930426</v>
      </c>
      <c r="H18" s="169">
        <v>2.87</v>
      </c>
      <c r="I18" s="165">
        <v>3.18</v>
      </c>
      <c r="J18" s="165">
        <v>2.77</v>
      </c>
      <c r="K18" s="165">
        <v>2.69</v>
      </c>
      <c r="L18" s="165">
        <v>3.44</v>
      </c>
      <c r="M18" s="165"/>
      <c r="N18" s="165">
        <v>2.95</v>
      </c>
      <c r="O18" s="165"/>
    </row>
  </sheetData>
  <mergeCells count="26">
    <mergeCell ref="I1:I2"/>
    <mergeCell ref="J1:J2"/>
    <mergeCell ref="K1:K2"/>
    <mergeCell ref="L1:L2"/>
    <mergeCell ref="M1:M2"/>
    <mergeCell ref="N1:N2"/>
    <mergeCell ref="O1:O2"/>
    <mergeCell ref="W1:W2"/>
    <mergeCell ref="X1:X2"/>
    <mergeCell ref="AM1:AO1"/>
    <mergeCell ref="P1:P2"/>
    <mergeCell ref="Q1:Q2"/>
    <mergeCell ref="R1:R2"/>
    <mergeCell ref="S1:S2"/>
    <mergeCell ref="T1:T2"/>
    <mergeCell ref="U1:U2"/>
    <mergeCell ref="V1:V2"/>
    <mergeCell ref="B3:B5"/>
    <mergeCell ref="B6:C6"/>
    <mergeCell ref="B1:B2"/>
    <mergeCell ref="C1:C2"/>
    <mergeCell ref="D1:D2"/>
    <mergeCell ref="E1:E2"/>
    <mergeCell ref="F1:F2"/>
    <mergeCell ref="G1:G2"/>
    <mergeCell ref="H1:H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F3" s="171" t="s">
        <v>83</v>
      </c>
      <c r="G3" s="171" t="s">
        <v>84</v>
      </c>
      <c r="H3" s="171" t="s">
        <v>85</v>
      </c>
      <c r="I3" s="171" t="s">
        <v>86</v>
      </c>
      <c r="J3" s="171" t="s">
        <v>87</v>
      </c>
      <c r="K3" s="171" t="s">
        <v>88</v>
      </c>
      <c r="L3" s="171" t="s">
        <v>89</v>
      </c>
      <c r="M3" s="171" t="s">
        <v>90</v>
      </c>
      <c r="N3" s="171" t="s">
        <v>91</v>
      </c>
      <c r="O3" s="171" t="s">
        <v>92</v>
      </c>
      <c r="P3" s="171" t="s">
        <v>93</v>
      </c>
      <c r="Q3" s="171" t="s">
        <v>94</v>
      </c>
    </row>
    <row r="4">
      <c r="E4" s="167" t="s">
        <v>95</v>
      </c>
      <c r="G4" s="167">
        <v>3.25</v>
      </c>
      <c r="H4" s="167">
        <v>3.6</v>
      </c>
      <c r="I4" s="167">
        <v>3.18</v>
      </c>
      <c r="J4" s="167">
        <v>2.85</v>
      </c>
      <c r="K4" s="167">
        <v>2.83</v>
      </c>
      <c r="L4" s="167">
        <v>4.36</v>
      </c>
      <c r="M4" s="167">
        <v>4.51</v>
      </c>
      <c r="N4" s="167">
        <v>3.63</v>
      </c>
      <c r="O4" s="167">
        <v>3.04</v>
      </c>
      <c r="P4" s="167">
        <v>4.04</v>
      </c>
      <c r="Q4" s="172">
        <v>4.8</v>
      </c>
      <c r="S4" s="170">
        <f t="shared" ref="S4:S6" si="1">AVERAGE(G4:Q4)</f>
        <v>3.644545455</v>
      </c>
    </row>
    <row r="5">
      <c r="E5" s="167" t="s">
        <v>77</v>
      </c>
      <c r="G5" s="167">
        <v>3.88</v>
      </c>
      <c r="H5" s="167">
        <v>3.68</v>
      </c>
      <c r="I5" s="167">
        <v>3.75</v>
      </c>
      <c r="J5" s="167">
        <v>3.6</v>
      </c>
      <c r="K5" s="167">
        <v>3.57</v>
      </c>
      <c r="L5" s="167">
        <v>3.42</v>
      </c>
      <c r="M5" s="167">
        <v>3.42</v>
      </c>
      <c r="N5" s="167">
        <v>3.77</v>
      </c>
      <c r="O5" s="167">
        <v>4.85</v>
      </c>
      <c r="P5" s="167">
        <v>4.15</v>
      </c>
      <c r="Q5" s="172">
        <v>4.88</v>
      </c>
      <c r="S5" s="170">
        <f t="shared" si="1"/>
        <v>3.906363636</v>
      </c>
    </row>
    <row r="6">
      <c r="E6" s="167" t="s">
        <v>62</v>
      </c>
      <c r="H6" s="167">
        <v>3.62</v>
      </c>
      <c r="I6" s="167">
        <v>4.58</v>
      </c>
      <c r="J6" s="167">
        <v>3.78</v>
      </c>
      <c r="K6" s="167">
        <v>3.58</v>
      </c>
      <c r="L6" s="167">
        <v>3.79</v>
      </c>
      <c r="M6" s="167">
        <v>3.7</v>
      </c>
      <c r="N6" s="167">
        <v>3.63</v>
      </c>
      <c r="O6" s="167">
        <v>5.42</v>
      </c>
      <c r="P6" s="167">
        <v>3.52</v>
      </c>
      <c r="Q6" s="172">
        <v>3.17</v>
      </c>
      <c r="S6" s="170">
        <f t="shared" si="1"/>
        <v>3.879</v>
      </c>
    </row>
    <row r="7">
      <c r="G7" s="167">
        <v>3.53</v>
      </c>
      <c r="I7" s="167">
        <v>3.69</v>
      </c>
      <c r="L7" s="167">
        <v>4.05</v>
      </c>
      <c r="O7" s="172">
        <v>4.4</v>
      </c>
    </row>
    <row r="8">
      <c r="G8" s="173">
        <v>629105.0</v>
      </c>
      <c r="I8" s="173">
        <v>1989556.0</v>
      </c>
      <c r="L8" s="173">
        <v>1806644.0</v>
      </c>
      <c r="O8" s="174">
        <v>1549959.0</v>
      </c>
      <c r="S8" s="170">
        <f>AVERAGE(S4:S6)</f>
        <v>3.809969697</v>
      </c>
    </row>
    <row r="19">
      <c r="S19" s="167">
        <v>629.0</v>
      </c>
    </row>
  </sheetData>
  <mergeCells count="2">
    <mergeCell ref="O7:Q7"/>
    <mergeCell ref="O8:Q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2" max="2" width="32.0"/>
    <col customWidth="1" min="3" max="3" width="12.63"/>
    <col customWidth="1" min="4" max="4" width="69.75"/>
    <col customWidth="1" min="5" max="5" width="17.0"/>
  </cols>
  <sheetData>
    <row r="1" ht="15.75" customHeight="1">
      <c r="A1" s="54" t="s">
        <v>14</v>
      </c>
      <c r="B1" s="54" t="s">
        <v>15</v>
      </c>
      <c r="C1" s="54" t="s">
        <v>96</v>
      </c>
      <c r="D1" s="54" t="s">
        <v>97</v>
      </c>
      <c r="E1" s="54" t="s">
        <v>98</v>
      </c>
    </row>
    <row r="2" ht="15.75" customHeight="1">
      <c r="A2" s="54" t="s">
        <v>48</v>
      </c>
      <c r="B2" s="54" t="s">
        <v>49</v>
      </c>
      <c r="C2" s="54">
        <v>2.0</v>
      </c>
      <c r="D2" s="175" t="s">
        <v>99</v>
      </c>
      <c r="E2" s="176">
        <v>1700000.0</v>
      </c>
    </row>
    <row r="3" ht="15.75" customHeight="1">
      <c r="A3" s="54" t="s">
        <v>48</v>
      </c>
      <c r="B3" s="54" t="s">
        <v>50</v>
      </c>
      <c r="C3" s="54">
        <v>1.0</v>
      </c>
      <c r="D3" s="175" t="s">
        <v>100</v>
      </c>
      <c r="E3" s="176">
        <v>18700.0</v>
      </c>
    </row>
    <row r="4" ht="15.75" customHeight="1">
      <c r="C4" s="177"/>
      <c r="D4" s="177"/>
      <c r="E4" s="177"/>
    </row>
    <row r="5" ht="15.75" customHeight="1">
      <c r="A5" s="54" t="s">
        <v>14</v>
      </c>
      <c r="B5" s="54" t="s">
        <v>15</v>
      </c>
      <c r="C5" s="54" t="s">
        <v>96</v>
      </c>
      <c r="D5" s="54" t="s">
        <v>97</v>
      </c>
      <c r="E5" s="54" t="s">
        <v>98</v>
      </c>
    </row>
    <row r="6" ht="15.75" customHeight="1">
      <c r="A6" s="54" t="s">
        <v>62</v>
      </c>
      <c r="B6" s="54" t="s">
        <v>101</v>
      </c>
      <c r="C6" s="54">
        <v>1.5</v>
      </c>
      <c r="D6" s="175" t="s">
        <v>102</v>
      </c>
      <c r="E6" s="176">
        <v>1843648.0</v>
      </c>
    </row>
    <row r="7" ht="15.75" customHeight="1">
      <c r="A7" s="54" t="s">
        <v>62</v>
      </c>
      <c r="B7" s="54" t="s">
        <v>63</v>
      </c>
      <c r="C7" s="54">
        <v>3.0</v>
      </c>
      <c r="D7" s="175" t="s">
        <v>103</v>
      </c>
      <c r="E7" s="176">
        <v>1.1165691E7</v>
      </c>
    </row>
    <row r="8" ht="15.75" customHeight="1">
      <c r="A8" s="54" t="s">
        <v>62</v>
      </c>
      <c r="B8" s="54" t="s">
        <v>49</v>
      </c>
      <c r="C8" s="54">
        <v>1.5</v>
      </c>
      <c r="D8" s="175" t="s">
        <v>104</v>
      </c>
      <c r="E8" s="176">
        <v>986072.0</v>
      </c>
    </row>
    <row r="9" ht="15.75" customHeight="1"/>
    <row r="10" ht="15.75" customHeight="1">
      <c r="A10" s="54" t="s">
        <v>14</v>
      </c>
      <c r="B10" s="54" t="s">
        <v>15</v>
      </c>
      <c r="C10" s="54" t="s">
        <v>96</v>
      </c>
      <c r="D10" s="54" t="s">
        <v>97</v>
      </c>
      <c r="E10" s="54" t="s">
        <v>98</v>
      </c>
    </row>
    <row r="11" ht="15.75" customHeight="1">
      <c r="A11" s="54" t="s">
        <v>105</v>
      </c>
      <c r="B11" s="54" t="s">
        <v>15</v>
      </c>
      <c r="C11" s="54"/>
      <c r="D11" s="175" t="s">
        <v>106</v>
      </c>
      <c r="E11" s="176">
        <v>1332000.0</v>
      </c>
    </row>
    <row r="12" ht="15.75" customHeight="1">
      <c r="A12" s="54" t="s">
        <v>105</v>
      </c>
      <c r="B12" s="54" t="s">
        <v>68</v>
      </c>
      <c r="C12" s="54"/>
      <c r="D12" s="175" t="s">
        <v>107</v>
      </c>
      <c r="E12" s="176">
        <v>8511000.0</v>
      </c>
    </row>
    <row r="13" ht="15.75" customHeight="1">
      <c r="A13" s="54" t="s">
        <v>105</v>
      </c>
      <c r="B13" s="54" t="s">
        <v>49</v>
      </c>
      <c r="C13" s="54"/>
      <c r="D13" s="175" t="s">
        <v>108</v>
      </c>
      <c r="E13" s="176">
        <v>926000.0</v>
      </c>
    </row>
    <row r="14" ht="15.75" customHeight="1"/>
    <row r="15" ht="15.75" customHeight="1">
      <c r="F15" s="178"/>
      <c r="G15" s="178"/>
    </row>
    <row r="16" ht="15.75" customHeight="1"/>
    <row r="17" ht="15.75" customHeight="1">
      <c r="F17" s="178"/>
      <c r="G17" s="179"/>
    </row>
    <row r="18" ht="15.75" customHeight="1">
      <c r="F18" s="178"/>
      <c r="G18" s="179"/>
    </row>
    <row r="19" ht="15.75" customHeight="1">
      <c r="F19" s="178"/>
      <c r="G19" s="17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